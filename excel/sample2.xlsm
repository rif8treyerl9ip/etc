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hyt\SELF_S\excel\"/>
    </mc:Choice>
  </mc:AlternateContent>
  <xr:revisionPtr revIDLastSave="0" documentId="13_ncr:1_{BD91649D-999D-4E18-A6CC-D4CB2A8F2ADF}" xr6:coauthVersionLast="47" xr6:coauthVersionMax="47" xr10:uidLastSave="{00000000-0000-0000-0000-000000000000}"/>
  <bookViews>
    <workbookView xWindow="-3120" yWindow="-252" windowWidth="17280" windowHeight="8964" firstSheet="2" activeTab="3" xr2:uid="{E80BA181-DCEF-4803-BEA2-D4EA6F03A683}"/>
  </bookViews>
  <sheets>
    <sheet name="raw" sheetId="1" r:id="rId1"/>
    <sheet name="pivotraw" sheetId="108" r:id="rId2"/>
    <sheet name="pivot" sheetId="118" r:id="rId3"/>
    <sheet name="Sheet160" sheetId="278" r:id="rId4"/>
  </sheets>
  <functionGroups builtInGroupCount="19"/>
  <definedNames>
    <definedName name="_xlnm._FilterDatabase" localSheetId="0" hidden="1">raw!$E:$E</definedName>
    <definedName name="スライサー_d">#N/A</definedName>
    <definedName name="スライサー_m">#N/A</definedName>
    <definedName name="スライサー_y">#N/A</definedName>
  </definedNames>
  <calcPr calcId="191029"/>
  <pivotCaches>
    <pivotCache cacheId="17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08" l="1"/>
  <c r="C3" i="108"/>
  <c r="D3" i="108"/>
  <c r="B4" i="108"/>
  <c r="C4" i="108"/>
  <c r="D4" i="108"/>
  <c r="B5" i="108"/>
  <c r="C5" i="108"/>
  <c r="D5" i="108"/>
  <c r="B6" i="108"/>
  <c r="C6" i="108"/>
  <c r="D6" i="108"/>
  <c r="B7" i="108"/>
  <c r="C7" i="108"/>
  <c r="D7" i="108"/>
  <c r="B8" i="108"/>
  <c r="C8" i="108"/>
  <c r="D8" i="108"/>
  <c r="B9" i="108"/>
  <c r="C9" i="108"/>
  <c r="D9" i="108"/>
  <c r="B10" i="108"/>
  <c r="C10" i="108"/>
  <c r="D10" i="108"/>
  <c r="B11" i="108"/>
  <c r="C11" i="108"/>
  <c r="D11" i="108"/>
  <c r="B12" i="108"/>
  <c r="C12" i="108"/>
  <c r="D12" i="108"/>
  <c r="B13" i="108"/>
  <c r="C13" i="108"/>
  <c r="D13" i="108"/>
  <c r="B14" i="108"/>
  <c r="C14" i="108"/>
  <c r="D14" i="108"/>
  <c r="B15" i="108"/>
  <c r="C15" i="108"/>
  <c r="D15" i="108"/>
  <c r="D16" i="108"/>
  <c r="C16" i="108"/>
  <c r="B16" i="108"/>
  <c r="D2" i="108"/>
  <c r="C2" i="108"/>
  <c r="B2" i="108"/>
  <c r="B8" i="1"/>
  <c r="C8" i="1"/>
  <c r="D8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B14" i="1"/>
  <c r="C14" i="1"/>
  <c r="D14" i="1"/>
  <c r="B15" i="1"/>
  <c r="C15" i="1"/>
  <c r="D15" i="1"/>
  <c r="B16" i="1"/>
  <c r="C16" i="1"/>
  <c r="D16" i="1"/>
  <c r="B17" i="1"/>
  <c r="C17" i="1"/>
  <c r="D17" i="1"/>
  <c r="B17" i="108"/>
  <c r="C17" i="108"/>
  <c r="D17" i="108"/>
  <c r="B18" i="108"/>
  <c r="C18" i="108"/>
  <c r="D18" i="108"/>
  <c r="B19" i="108"/>
  <c r="C19" i="108"/>
  <c r="D19" i="108"/>
  <c r="B20" i="108"/>
  <c r="C20" i="108"/>
  <c r="D20" i="108"/>
  <c r="B21" i="108"/>
  <c r="C21" i="108"/>
  <c r="D21" i="108"/>
  <c r="B22" i="108"/>
  <c r="C22" i="108"/>
  <c r="D22" i="108"/>
  <c r="B23" i="108"/>
  <c r="C23" i="108"/>
  <c r="D23" i="108"/>
  <c r="B24" i="108"/>
  <c r="C24" i="108"/>
  <c r="D24" i="108"/>
  <c r="B25" i="108"/>
  <c r="C25" i="108"/>
  <c r="D25" i="108"/>
  <c r="B26" i="108"/>
  <c r="C26" i="108"/>
  <c r="D26" i="108"/>
  <c r="B27" i="108"/>
  <c r="C27" i="108"/>
  <c r="D27" i="108"/>
  <c r="B28" i="108"/>
  <c r="C28" i="108"/>
  <c r="D28" i="108"/>
  <c r="B29" i="108"/>
  <c r="C29" i="108"/>
  <c r="D29" i="108"/>
  <c r="B30" i="108"/>
  <c r="C30" i="108"/>
  <c r="D30" i="108"/>
  <c r="B31" i="108"/>
  <c r="C31" i="108"/>
  <c r="D31" i="108"/>
  <c r="B32" i="108"/>
  <c r="C32" i="108"/>
  <c r="D32" i="108"/>
  <c r="B33" i="108"/>
  <c r="C33" i="108"/>
  <c r="D33" i="108"/>
  <c r="B34" i="108"/>
  <c r="C34" i="108"/>
  <c r="D34" i="108"/>
  <c r="B35" i="108"/>
  <c r="C35" i="108"/>
  <c r="D35" i="108"/>
  <c r="B36" i="108"/>
  <c r="C36" i="108"/>
  <c r="D36" i="108"/>
  <c r="B37" i="108"/>
  <c r="C37" i="108"/>
  <c r="D37" i="108"/>
  <c r="B38" i="108"/>
  <c r="C38" i="108"/>
  <c r="D38" i="108"/>
  <c r="B39" i="108"/>
  <c r="C39" i="108"/>
  <c r="D39" i="108"/>
  <c r="B40" i="108"/>
  <c r="C40" i="108"/>
  <c r="D40" i="108"/>
  <c r="B41" i="108"/>
  <c r="C41" i="108"/>
  <c r="D41" i="108"/>
  <c r="B42" i="108"/>
  <c r="C42" i="108"/>
  <c r="D42" i="108"/>
  <c r="B43" i="108"/>
  <c r="C43" i="108"/>
  <c r="D43" i="108"/>
  <c r="B44" i="108"/>
  <c r="C44" i="108"/>
  <c r="D44" i="108"/>
  <c r="B45" i="108"/>
  <c r="C45" i="108"/>
  <c r="D45" i="108"/>
  <c r="D47" i="108"/>
  <c r="B46" i="108"/>
  <c r="C46" i="108"/>
  <c r="D46" i="108"/>
  <c r="B47" i="108"/>
  <c r="C47" i="108"/>
  <c r="B48" i="108"/>
  <c r="C48" i="108"/>
  <c r="D48" i="108"/>
  <c r="B49" i="108"/>
  <c r="C49" i="108"/>
  <c r="D49" i="108"/>
  <c r="D51" i="108" l="1"/>
  <c r="C51" i="108"/>
  <c r="B51" i="108"/>
  <c r="D50" i="108"/>
  <c r="C50" i="108"/>
  <c r="B50" i="108"/>
  <c r="B3" i="1"/>
  <c r="C3" i="1"/>
  <c r="D3" i="1"/>
  <c r="B4" i="1"/>
  <c r="C4" i="1"/>
  <c r="D4" i="1"/>
  <c r="B5" i="1"/>
  <c r="C5" i="1"/>
  <c r="D5" i="1"/>
  <c r="B6" i="1"/>
  <c r="C6" i="1"/>
  <c r="D6" i="1"/>
  <c r="B7" i="1"/>
  <c r="C7" i="1"/>
  <c r="D7" i="1"/>
  <c r="D2" i="1"/>
  <c r="C2" i="1"/>
  <c r="B2" i="1"/>
  <c r="I65" i="1"/>
  <c r="H65" i="1"/>
  <c r="G65" i="1"/>
</calcChain>
</file>

<file path=xl/sharedStrings.xml><?xml version="1.0" encoding="utf-8"?>
<sst xmlns="http://schemas.openxmlformats.org/spreadsheetml/2006/main" count="42" uniqueCount="39">
  <si>
    <t>c</t>
    <phoneticPr fontId="1"/>
  </si>
  <si>
    <t>ymd</t>
    <phoneticPr fontId="1"/>
  </si>
  <si>
    <t>d</t>
    <phoneticPr fontId="1"/>
  </si>
  <si>
    <t>y</t>
    <phoneticPr fontId="1"/>
  </si>
  <si>
    <t>m</t>
    <phoneticPr fontId="1"/>
  </si>
  <si>
    <t>行ラベル</t>
  </si>
  <si>
    <t>総計</t>
  </si>
  <si>
    <t>05</t>
  </si>
  <si>
    <t>06</t>
  </si>
  <si>
    <t>07</t>
  </si>
  <si>
    <t>買い物額</t>
    <rPh sb="0" eb="1">
      <t>カ</t>
    </rPh>
    <rPh sb="2" eb="4">
      <t>モノガク</t>
    </rPh>
    <phoneticPr fontId="1"/>
  </si>
  <si>
    <t>合計 / 買い物額</t>
  </si>
  <si>
    <t>01</t>
  </si>
  <si>
    <t>02</t>
  </si>
  <si>
    <t>03</t>
  </si>
  <si>
    <t>04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</si>
  <si>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</si>
  <si>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</si>
  <si>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</si>
  <si>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</si>
  <si>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</si>
  <si>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</si>
  <si>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</si>
  <si>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</si>
  <si>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</si>
  <si>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08</t>
  </si>
  <si>
    <t>09</t>
  </si>
  <si>
    <t>10</t>
  </si>
  <si>
    <t>11</t>
  </si>
  <si>
    <t>12</t>
  </si>
  <si>
    <t>13</t>
  </si>
  <si>
    <t>14</t>
  </si>
  <si>
    <t>15</t>
  </si>
  <si>
    <t>17</t>
  </si>
  <si>
    <t>19</t>
  </si>
  <si>
    <t>29</t>
  </si>
  <si>
    <t>31</t>
  </si>
  <si>
    <t>16</t>
  </si>
  <si>
    <t>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</si>
</sst>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58271</xdr:colOff>
      <xdr:row>4</xdr:row>
      <xdr:rowOff>62753</xdr:rowOff>
    </xdr:from>
    <xdr:to>
      <xdr:col>5</xdr:col>
      <xdr:colOff>547744</xdr:colOff>
      <xdr:row>15</xdr:row>
      <xdr:rowOff>129428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y">
              <a:extLst>
                <a:ext uri="{FF2B5EF4-FFF2-40B4-BE49-F238E27FC236}">
                  <a16:creationId xmlns:a16="http://schemas.microsoft.com/office/drawing/2014/main" id="{2334643D-ADDF-4107-BD40-5F4C28D404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2506" y="995082"/>
              <a:ext cx="1834179" cy="26305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262217</xdr:colOff>
      <xdr:row>3</xdr:row>
      <xdr:rowOff>40788</xdr:rowOff>
    </xdr:from>
    <xdr:to>
      <xdr:col>9</xdr:col>
      <xdr:colOff>77544</xdr:colOff>
      <xdr:row>14</xdr:row>
      <xdr:rowOff>107463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m">
              <a:extLst>
                <a:ext uri="{FF2B5EF4-FFF2-40B4-BE49-F238E27FC236}">
                  <a16:creationId xmlns:a16="http://schemas.microsoft.com/office/drawing/2014/main" id="{F98C1EA7-93A1-4A1D-B25D-2473075296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13511" y="740035"/>
              <a:ext cx="1832386" cy="26305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427617</xdr:colOff>
      <xdr:row>13</xdr:row>
      <xdr:rowOff>125506</xdr:rowOff>
    </xdr:from>
    <xdr:to>
      <xdr:col>9</xdr:col>
      <xdr:colOff>244737</xdr:colOff>
      <xdr:row>24</xdr:row>
      <xdr:rowOff>192182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d">
              <a:extLst>
                <a:ext uri="{FF2B5EF4-FFF2-40B4-BE49-F238E27FC236}">
                  <a16:creationId xmlns:a16="http://schemas.microsoft.com/office/drawing/2014/main" id="{65232FA1-A1C4-4B41-B38A-FDAD66C655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78911" y="3155577"/>
              <a:ext cx="1834179" cy="26305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yt" refreshedDate="44640.03882962963" createdVersion="7" refreshedVersion="7" minRefreshableVersion="3" recordCount="50" xr:uid="{B37EC586-7BDD-45DF-871E-13AD53A55CA2}">
  <cacheSource type="worksheet">
    <worksheetSource ref="B1:F51" sheet="pivotraw"/>
  </cacheSource>
  <cacheFields count="5">
    <cacheField name="y" numFmtId="0">
      <sharedItems count="2">
        <s v="2021"/>
        <s v="2022"/>
      </sharedItems>
    </cacheField>
    <cacheField name="m" numFmtId="0">
      <sharedItems count="5">
        <s v="11"/>
        <s v="12"/>
        <s v="01"/>
        <s v="02"/>
        <s v="03"/>
      </sharedItems>
    </cacheField>
    <cacheField name="d" numFmtId="0">
      <sharedItems count="31">
        <s v="30"/>
        <s v="02"/>
        <s v="04"/>
        <s v="06"/>
        <s v="08"/>
        <s v="10"/>
        <s v="12"/>
        <s v="14"/>
        <s v="16"/>
        <s v="18"/>
        <s v="20"/>
        <s v="22"/>
        <s v="24"/>
        <s v="26"/>
        <s v="28"/>
        <s v="01"/>
        <s v="03"/>
        <s v="05"/>
        <s v="07"/>
        <s v="09"/>
        <s v="11"/>
        <s v="13"/>
        <s v="15"/>
        <s v="17"/>
        <s v="19"/>
        <s v="21"/>
        <s v="23"/>
        <s v="25"/>
        <s v="27"/>
        <s v="29"/>
        <s v="31"/>
      </sharedItems>
    </cacheField>
    <cacheField name="ymd" numFmtId="0">
      <sharedItems containsSemiMixedTypes="0" containsString="0" containsNumber="1" containsInteger="1" minValue="20211130" maxValue="20220307"/>
    </cacheField>
    <cacheField name="買い物額" numFmtId="0">
      <sharedItems containsSemiMixedTypes="0" containsString="0" containsNumber="1" containsInteger="1" minValue="-12726" maxValue="432"/>
    </cacheField>
  </cacheFields>
  <extLst>
    <ext xmlns:x14="http://schemas.microsoft.com/office/spreadsheetml/2009/9/main" uri="{725AE2AE-9491-48be-B2B4-4EB974FC3084}">
      <x14:pivotCacheDefinition pivotCacheId="160454237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  <x v="0"/>
    <x v="0"/>
    <n v="20211130"/>
    <n v="-12726"/>
  </r>
  <r>
    <x v="0"/>
    <x v="1"/>
    <x v="1"/>
    <n v="20211202"/>
    <n v="-12726"/>
  </r>
  <r>
    <x v="0"/>
    <x v="1"/>
    <x v="2"/>
    <n v="20211204"/>
    <n v="-12726"/>
  </r>
  <r>
    <x v="0"/>
    <x v="1"/>
    <x v="3"/>
    <n v="20211206"/>
    <n v="-12726"/>
  </r>
  <r>
    <x v="0"/>
    <x v="1"/>
    <x v="4"/>
    <n v="20211208"/>
    <n v="-12726"/>
  </r>
  <r>
    <x v="0"/>
    <x v="1"/>
    <x v="5"/>
    <n v="20211210"/>
    <n v="-12726"/>
  </r>
  <r>
    <x v="0"/>
    <x v="1"/>
    <x v="6"/>
    <n v="20211212"/>
    <n v="-12726"/>
  </r>
  <r>
    <x v="0"/>
    <x v="1"/>
    <x v="7"/>
    <n v="20211214"/>
    <n v="-12726"/>
  </r>
  <r>
    <x v="0"/>
    <x v="1"/>
    <x v="8"/>
    <n v="20211216"/>
    <n v="-12726"/>
  </r>
  <r>
    <x v="0"/>
    <x v="1"/>
    <x v="9"/>
    <n v="20211218"/>
    <n v="-12726"/>
  </r>
  <r>
    <x v="0"/>
    <x v="1"/>
    <x v="10"/>
    <n v="20211220"/>
    <n v="-12726"/>
  </r>
  <r>
    <x v="0"/>
    <x v="1"/>
    <x v="11"/>
    <n v="20211222"/>
    <n v="-12726"/>
  </r>
  <r>
    <x v="0"/>
    <x v="1"/>
    <x v="12"/>
    <n v="20211224"/>
    <n v="-12726"/>
  </r>
  <r>
    <x v="0"/>
    <x v="1"/>
    <x v="13"/>
    <n v="20211226"/>
    <n v="-12726"/>
  </r>
  <r>
    <x v="0"/>
    <x v="1"/>
    <x v="14"/>
    <n v="20211228"/>
    <n v="-12726"/>
  </r>
  <r>
    <x v="0"/>
    <x v="1"/>
    <x v="0"/>
    <n v="20211230"/>
    <n v="-12726"/>
  </r>
  <r>
    <x v="1"/>
    <x v="2"/>
    <x v="15"/>
    <n v="20220101"/>
    <n v="-12339"/>
  </r>
  <r>
    <x v="1"/>
    <x v="2"/>
    <x v="16"/>
    <n v="20220103"/>
    <n v="-11952"/>
  </r>
  <r>
    <x v="1"/>
    <x v="2"/>
    <x v="17"/>
    <n v="20220105"/>
    <n v="-11565"/>
  </r>
  <r>
    <x v="1"/>
    <x v="2"/>
    <x v="18"/>
    <n v="20220107"/>
    <n v="-11178"/>
  </r>
  <r>
    <x v="1"/>
    <x v="2"/>
    <x v="19"/>
    <n v="20220109"/>
    <n v="-10791"/>
  </r>
  <r>
    <x v="1"/>
    <x v="2"/>
    <x v="20"/>
    <n v="20220111"/>
    <n v="-10404"/>
  </r>
  <r>
    <x v="1"/>
    <x v="2"/>
    <x v="21"/>
    <n v="20220113"/>
    <n v="-10017"/>
  </r>
  <r>
    <x v="1"/>
    <x v="2"/>
    <x v="22"/>
    <n v="20220115"/>
    <n v="-9630"/>
  </r>
  <r>
    <x v="1"/>
    <x v="2"/>
    <x v="23"/>
    <n v="20220117"/>
    <n v="-9243"/>
  </r>
  <r>
    <x v="1"/>
    <x v="2"/>
    <x v="24"/>
    <n v="20220119"/>
    <n v="-8856"/>
  </r>
  <r>
    <x v="1"/>
    <x v="2"/>
    <x v="25"/>
    <n v="20220121"/>
    <n v="-8469"/>
  </r>
  <r>
    <x v="1"/>
    <x v="2"/>
    <x v="26"/>
    <n v="20220123"/>
    <n v="-8082"/>
  </r>
  <r>
    <x v="1"/>
    <x v="2"/>
    <x v="27"/>
    <n v="20220125"/>
    <n v="-7695"/>
  </r>
  <r>
    <x v="1"/>
    <x v="2"/>
    <x v="28"/>
    <n v="20220127"/>
    <n v="-7308"/>
  </r>
  <r>
    <x v="1"/>
    <x v="2"/>
    <x v="29"/>
    <n v="20220129"/>
    <n v="-6921"/>
  </r>
  <r>
    <x v="1"/>
    <x v="2"/>
    <x v="30"/>
    <n v="20220131"/>
    <n v="-6534"/>
  </r>
  <r>
    <x v="1"/>
    <x v="3"/>
    <x v="1"/>
    <n v="20220202"/>
    <n v="-6147"/>
  </r>
  <r>
    <x v="1"/>
    <x v="3"/>
    <x v="2"/>
    <n v="20220204"/>
    <n v="-5760"/>
  </r>
  <r>
    <x v="1"/>
    <x v="3"/>
    <x v="3"/>
    <n v="20220206"/>
    <n v="-5373"/>
  </r>
  <r>
    <x v="1"/>
    <x v="3"/>
    <x v="4"/>
    <n v="20220208"/>
    <n v="-4986"/>
  </r>
  <r>
    <x v="1"/>
    <x v="3"/>
    <x v="5"/>
    <n v="20220210"/>
    <n v="-4599"/>
  </r>
  <r>
    <x v="1"/>
    <x v="3"/>
    <x v="6"/>
    <n v="20220212"/>
    <n v="-4212"/>
  </r>
  <r>
    <x v="1"/>
    <x v="3"/>
    <x v="7"/>
    <n v="20220214"/>
    <n v="-3825"/>
  </r>
  <r>
    <x v="1"/>
    <x v="3"/>
    <x v="8"/>
    <n v="20220216"/>
    <n v="-3438"/>
  </r>
  <r>
    <x v="1"/>
    <x v="3"/>
    <x v="9"/>
    <n v="20220218"/>
    <n v="-3051"/>
  </r>
  <r>
    <x v="1"/>
    <x v="3"/>
    <x v="10"/>
    <n v="20220220"/>
    <n v="-2664"/>
  </r>
  <r>
    <x v="1"/>
    <x v="3"/>
    <x v="11"/>
    <n v="20220222"/>
    <n v="-2277"/>
  </r>
  <r>
    <x v="1"/>
    <x v="3"/>
    <x v="12"/>
    <n v="20220224"/>
    <n v="-1890"/>
  </r>
  <r>
    <x v="1"/>
    <x v="3"/>
    <x v="13"/>
    <n v="20220226"/>
    <n v="-1503"/>
  </r>
  <r>
    <x v="1"/>
    <x v="3"/>
    <x v="14"/>
    <n v="20220228"/>
    <n v="-1116"/>
  </r>
  <r>
    <x v="1"/>
    <x v="4"/>
    <x v="15"/>
    <n v="20220301"/>
    <n v="-729"/>
  </r>
  <r>
    <x v="1"/>
    <x v="4"/>
    <x v="16"/>
    <n v="20220303"/>
    <n v="-342"/>
  </r>
  <r>
    <x v="1"/>
    <x v="4"/>
    <x v="17"/>
    <n v="20220305"/>
    <n v="45"/>
  </r>
  <r>
    <x v="1"/>
    <x v="4"/>
    <x v="18"/>
    <n v="20220307"/>
    <n v="4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D4D80B-E801-46EC-ACA4-2C3E67DAA4C3}" name="ピボットテーブル7" cacheId="17" applyNumberFormats="0" applyBorderFormats="0" applyFontFormats="0" applyPatternFormats="0" applyAlignmentFormats="0" applyWidthHeightFormats="1" dataCaption="値" updatedVersion="7" minRefreshableVersion="3" useAutoFormatting="1" itemPrintTitles="1" createdVersion="7" indent="0" outline="1" outlineData="1" multipleFieldFilters="0">
  <location ref="A3:B34" firstHeaderRow="1" firstDataRow="1" firstDataCol="1"/>
  <pivotFields count="5">
    <pivotField showAll="0">
      <items count="3">
        <item h="1" x="0"/>
        <item x="1"/>
        <item t="default"/>
      </items>
    </pivotField>
    <pivotField showAll="0">
      <items count="6">
        <item x="2"/>
        <item x="3"/>
        <item x="4"/>
        <item h="1" x="0"/>
        <item h="1" x="1"/>
        <item t="default"/>
      </items>
    </pivotField>
    <pivotField axis="axisRow" showAll="0">
      <items count="32">
        <item x="15"/>
        <item x="1"/>
        <item x="16"/>
        <item x="2"/>
        <item x="17"/>
        <item x="3"/>
        <item x="18"/>
        <item x="10"/>
        <item x="25"/>
        <item x="11"/>
        <item x="26"/>
        <item x="12"/>
        <item x="27"/>
        <item x="13"/>
        <item x="28"/>
        <item x="14"/>
        <item x="0"/>
        <item x="19"/>
        <item x="20"/>
        <item x="21"/>
        <item x="22"/>
        <item x="23"/>
        <item x="24"/>
        <item x="29"/>
        <item x="30"/>
        <item x="4"/>
        <item x="5"/>
        <item x="6"/>
        <item x="7"/>
        <item x="8"/>
        <item x="9"/>
        <item t="default"/>
      </items>
    </pivotField>
    <pivotField showAll="0"/>
    <pivotField dataField="1" showAll="0"/>
  </pivotFields>
  <rowFields count="1">
    <field x="2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dataFields count="1">
    <dataField name="合計 / 買い物額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y" xr10:uid="{825CD865-AD78-4ABC-BDE9-F46BECA4A44C}" sourceName="y">
  <pivotTables>
    <pivotTable tabId="118" name="ピボットテーブル7"/>
  </pivotTables>
  <data>
    <tabular pivotCacheId="1604542379">
      <items count="2">
        <i x="1" s="1"/>
        <i x="0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m" xr10:uid="{F1CDBC8F-CF2B-4FCF-B66F-BD8A6EB95147}" sourceName="m">
  <pivotTables>
    <pivotTable tabId="118" name="ピボットテーブル7"/>
  </pivotTables>
  <data>
    <tabular pivotCacheId="1604542379">
      <items count="5">
        <i x="2" s="1"/>
        <i x="3" s="1"/>
        <i x="4" s="1"/>
        <i x="0" nd="1"/>
        <i x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d" xr10:uid="{8D658202-BDAB-4D4E-8281-C5E9238E7B79}" sourceName="d">
  <pivotTables>
    <pivotTable tabId="118" name="ピボットテーブル7"/>
  </pivotTables>
  <data>
    <tabular pivotCacheId="1604542379">
      <items count="31">
        <i x="15" s="1"/>
        <i x="1" s="1"/>
        <i x="16" s="1"/>
        <i x="2" s="1"/>
        <i x="17" s="1"/>
        <i x="3" s="1"/>
        <i x="18" s="1"/>
        <i x="4" s="1"/>
        <i x="19" s="1"/>
        <i x="5" s="1"/>
        <i x="20" s="1"/>
        <i x="6" s="1"/>
        <i x="21" s="1"/>
        <i x="7" s="1"/>
        <i x="22" s="1"/>
        <i x="8" s="1"/>
        <i x="23" s="1"/>
        <i x="9" s="1"/>
        <i x="24" s="1"/>
        <i x="10" s="1"/>
        <i x="25" s="1"/>
        <i x="11" s="1"/>
        <i x="26" s="1"/>
        <i x="12" s="1"/>
        <i x="27" s="1"/>
        <i x="13" s="1"/>
        <i x="28" s="1"/>
        <i x="14" s="1"/>
        <i x="29" s="1"/>
        <i x="30" s="1"/>
        <i x="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y" xr10:uid="{65A196C7-5C90-4539-9876-07B2111EE7CB}" cache="スライサー_y" caption="y" rowHeight="247650"/>
  <slicer name="m" xr10:uid="{AD5CB986-BF48-46ED-A523-D84BC2040927}" cache="スライサー_m" caption="m" rowHeight="247650"/>
  <slicer name="d" xr10:uid="{10375EDF-02E7-4F77-986F-64C4247C6765}" cache="スライサー_d" caption="d" startItem="3" rowHeight="247650"/>
</slicer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EBC78-9526-43B5-876C-40AAB0C2775E}">
  <sheetPr codeName="Sheet1"/>
  <dimension ref="B1:I65"/>
  <sheetViews>
    <sheetView zoomScaleNormal="100" workbookViewId="0">
      <selection activeCell="G11" sqref="G11"/>
    </sheetView>
  </sheetViews>
  <sheetFormatPr defaultRowHeight="18" x14ac:dyDescent="0.45"/>
  <cols>
    <col min="5" max="5" width="9.3984375" bestFit="1" customWidth="1"/>
  </cols>
  <sheetData>
    <row r="1" spans="2:5" x14ac:dyDescent="0.45">
      <c r="B1" t="s">
        <v>3</v>
      </c>
      <c r="C1" t="s">
        <v>4</v>
      </c>
      <c r="D1" t="s">
        <v>2</v>
      </c>
      <c r="E1" t="s">
        <v>0</v>
      </c>
    </row>
    <row r="2" spans="2:5" x14ac:dyDescent="0.45">
      <c r="B2" t="str">
        <f>LEFT(E2,4)</f>
        <v>2022</v>
      </c>
      <c r="C2" t="str">
        <f>MID(E2,5,2)</f>
        <v>02</v>
      </c>
      <c r="D2" t="str">
        <f>RIGHT(E2,2)</f>
        <v>20</v>
      </c>
      <c r="E2">
        <v>20220220</v>
      </c>
    </row>
    <row r="3" spans="2:5" x14ac:dyDescent="0.45">
      <c r="B3" t="str">
        <f t="shared" ref="B3:B24" si="0">LEFT(E3,4)</f>
        <v>2022</v>
      </c>
      <c r="C3" t="str">
        <f t="shared" ref="C3:C24" si="1">MID(E3,5,2)</f>
        <v>02</v>
      </c>
      <c r="D3" t="str">
        <f t="shared" ref="D3:D24" si="2">RIGHT(E3,2)</f>
        <v>21</v>
      </c>
      <c r="E3">
        <v>20220221</v>
      </c>
    </row>
    <row r="4" spans="2:5" x14ac:dyDescent="0.45">
      <c r="B4" t="str">
        <f t="shared" si="0"/>
        <v>2022</v>
      </c>
      <c r="C4" t="str">
        <f t="shared" si="1"/>
        <v>02</v>
      </c>
      <c r="D4" t="str">
        <f t="shared" si="2"/>
        <v>22</v>
      </c>
      <c r="E4">
        <v>20220222</v>
      </c>
    </row>
    <row r="5" spans="2:5" x14ac:dyDescent="0.45">
      <c r="B5" t="str">
        <f t="shared" si="0"/>
        <v>2022</v>
      </c>
      <c r="C5" t="str">
        <f t="shared" si="1"/>
        <v>02</v>
      </c>
      <c r="D5" t="str">
        <f t="shared" si="2"/>
        <v>23</v>
      </c>
      <c r="E5">
        <v>20220223</v>
      </c>
    </row>
    <row r="6" spans="2:5" x14ac:dyDescent="0.45">
      <c r="B6" t="str">
        <f t="shared" si="0"/>
        <v>2022</v>
      </c>
      <c r="C6" t="str">
        <f t="shared" si="1"/>
        <v>02</v>
      </c>
      <c r="D6" t="str">
        <f t="shared" si="2"/>
        <v>24</v>
      </c>
      <c r="E6">
        <v>20220224</v>
      </c>
    </row>
    <row r="7" spans="2:5" x14ac:dyDescent="0.45">
      <c r="B7" t="str">
        <f t="shared" si="0"/>
        <v>2022</v>
      </c>
      <c r="C7" t="str">
        <f t="shared" si="1"/>
        <v>02</v>
      </c>
      <c r="D7" t="str">
        <f t="shared" si="2"/>
        <v>25</v>
      </c>
      <c r="E7">
        <v>20220225</v>
      </c>
    </row>
    <row r="8" spans="2:5" x14ac:dyDescent="0.45">
      <c r="B8" t="str">
        <f t="shared" si="0"/>
        <v>2022</v>
      </c>
      <c r="C8" t="str">
        <f t="shared" si="1"/>
        <v>02</v>
      </c>
      <c r="D8" t="str">
        <f t="shared" si="2"/>
        <v>26</v>
      </c>
      <c r="E8">
        <v>20220226</v>
      </c>
    </row>
    <row r="9" spans="2:5" x14ac:dyDescent="0.45">
      <c r="B9" t="str">
        <f t="shared" si="0"/>
        <v>2022</v>
      </c>
      <c r="C9" t="str">
        <f t="shared" si="1"/>
        <v>02</v>
      </c>
      <c r="D9" t="str">
        <f t="shared" si="2"/>
        <v>27</v>
      </c>
      <c r="E9">
        <v>20220227</v>
      </c>
    </row>
    <row r="10" spans="2:5" x14ac:dyDescent="0.45">
      <c r="B10" t="str">
        <f t="shared" si="0"/>
        <v>2022</v>
      </c>
      <c r="C10" t="str">
        <f t="shared" si="1"/>
        <v>02</v>
      </c>
      <c r="D10" t="str">
        <f t="shared" si="2"/>
        <v>28</v>
      </c>
      <c r="E10">
        <v>20220228</v>
      </c>
    </row>
    <row r="11" spans="2:5" x14ac:dyDescent="0.45">
      <c r="B11" t="str">
        <f t="shared" si="0"/>
        <v>2022</v>
      </c>
      <c r="C11" t="str">
        <f t="shared" si="1"/>
        <v>03</v>
      </c>
      <c r="D11" t="str">
        <f t="shared" si="2"/>
        <v>01</v>
      </c>
      <c r="E11">
        <v>20220301</v>
      </c>
    </row>
    <row r="12" spans="2:5" x14ac:dyDescent="0.45">
      <c r="B12" t="str">
        <f t="shared" si="0"/>
        <v>2022</v>
      </c>
      <c r="C12" t="str">
        <f t="shared" si="1"/>
        <v>03</v>
      </c>
      <c r="D12" t="str">
        <f t="shared" si="2"/>
        <v>02</v>
      </c>
      <c r="E12">
        <v>20220302</v>
      </c>
    </row>
    <row r="13" spans="2:5" x14ac:dyDescent="0.45">
      <c r="B13" t="str">
        <f t="shared" si="0"/>
        <v>2022</v>
      </c>
      <c r="C13" t="str">
        <f t="shared" si="1"/>
        <v>03</v>
      </c>
      <c r="D13" t="str">
        <f t="shared" si="2"/>
        <v>03</v>
      </c>
      <c r="E13">
        <v>20220303</v>
      </c>
    </row>
    <row r="14" spans="2:5" x14ac:dyDescent="0.45">
      <c r="B14" t="str">
        <f t="shared" si="0"/>
        <v>2022</v>
      </c>
      <c r="C14" t="str">
        <f t="shared" si="1"/>
        <v>03</v>
      </c>
      <c r="D14" t="str">
        <f t="shared" si="2"/>
        <v>04</v>
      </c>
      <c r="E14">
        <v>20220304</v>
      </c>
    </row>
    <row r="15" spans="2:5" x14ac:dyDescent="0.45">
      <c r="B15" t="str">
        <f t="shared" si="0"/>
        <v>2022</v>
      </c>
      <c r="C15" t="str">
        <f t="shared" si="1"/>
        <v>03</v>
      </c>
      <c r="D15" t="str">
        <f t="shared" si="2"/>
        <v>05</v>
      </c>
      <c r="E15">
        <v>20220305</v>
      </c>
    </row>
    <row r="16" spans="2:5" x14ac:dyDescent="0.45">
      <c r="B16" t="str">
        <f t="shared" si="0"/>
        <v>2022</v>
      </c>
      <c r="C16" t="str">
        <f t="shared" si="1"/>
        <v>03</v>
      </c>
      <c r="D16" t="str">
        <f t="shared" si="2"/>
        <v>06</v>
      </c>
      <c r="E16">
        <v>20220306</v>
      </c>
    </row>
    <row r="17" spans="2:5" x14ac:dyDescent="0.45">
      <c r="B17" t="str">
        <f t="shared" si="0"/>
        <v>2022</v>
      </c>
      <c r="C17" t="str">
        <f t="shared" si="1"/>
        <v>03</v>
      </c>
      <c r="D17" t="str">
        <f t="shared" si="2"/>
        <v>07</v>
      </c>
      <c r="E17">
        <v>20220307</v>
      </c>
    </row>
    <row r="65" spans="7:9" x14ac:dyDescent="0.45">
      <c r="G65" t="str">
        <f t="shared" ref="G65" si="3">LEFT(F65,4)</f>
        <v/>
      </c>
      <c r="H65" t="str">
        <f t="shared" ref="H65" si="4">MID(F65,5,2)</f>
        <v/>
      </c>
      <c r="I65" t="str">
        <f t="shared" ref="I65" si="5">RIGHT(F65,2)</f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1F087-1AF2-4B4D-8649-8E8914471560}">
  <sheetPr codeName="Sheet77"/>
  <dimension ref="B1:F51"/>
  <sheetViews>
    <sheetView topLeftCell="A28" zoomScaleNormal="100" workbookViewId="0">
      <selection activeCell="H4" sqref="H4"/>
    </sheetView>
  </sheetViews>
  <sheetFormatPr defaultRowHeight="18" x14ac:dyDescent="0.45"/>
  <cols>
    <col min="5" max="5" width="11.5" bestFit="1" customWidth="1"/>
  </cols>
  <sheetData>
    <row r="1" spans="2:6" x14ac:dyDescent="0.45">
      <c r="B1" t="s">
        <v>3</v>
      </c>
      <c r="C1" t="s">
        <v>4</v>
      </c>
      <c r="D1" t="s">
        <v>2</v>
      </c>
      <c r="E1" t="s">
        <v>1</v>
      </c>
      <c r="F1" t="s">
        <v>10</v>
      </c>
    </row>
    <row r="2" spans="2:6" x14ac:dyDescent="0.45">
      <c r="B2" t="str">
        <f t="shared" ref="B2:B16" si="0">LEFT(E2,4)</f>
        <v>2021</v>
      </c>
      <c r="C2" t="str">
        <f t="shared" ref="C2:C16" si="1">MID(E2,5,2)</f>
        <v>11</v>
      </c>
      <c r="D2" t="str">
        <f t="shared" ref="D2:D16" si="2">RIGHT(E2,2)</f>
        <v>30</v>
      </c>
      <c r="E2">
        <v>20211130</v>
      </c>
      <c r="F2">
        <v>-12726</v>
      </c>
    </row>
    <row r="3" spans="2:6" x14ac:dyDescent="0.45">
      <c r="B3" t="str">
        <f t="shared" si="0"/>
        <v>2021</v>
      </c>
      <c r="C3" t="str">
        <f t="shared" si="1"/>
        <v>12</v>
      </c>
      <c r="D3" t="str">
        <f t="shared" si="2"/>
        <v>02</v>
      </c>
      <c r="E3">
        <v>20211202</v>
      </c>
      <c r="F3">
        <v>-12726</v>
      </c>
    </row>
    <row r="4" spans="2:6" x14ac:dyDescent="0.45">
      <c r="B4" t="str">
        <f t="shared" ref="B4:B15" si="3">LEFT(E4,4)</f>
        <v>2021</v>
      </c>
      <c r="C4" t="str">
        <f t="shared" ref="C4:C15" si="4">MID(E4,5,2)</f>
        <v>12</v>
      </c>
      <c r="D4" t="str">
        <f t="shared" ref="D4:D15" si="5">RIGHT(E4,2)</f>
        <v>04</v>
      </c>
      <c r="E4">
        <v>20211204</v>
      </c>
      <c r="F4">
        <v>-12726</v>
      </c>
    </row>
    <row r="5" spans="2:6" x14ac:dyDescent="0.45">
      <c r="B5" t="str">
        <f t="shared" si="3"/>
        <v>2021</v>
      </c>
      <c r="C5" t="str">
        <f t="shared" si="4"/>
        <v>12</v>
      </c>
      <c r="D5" t="str">
        <f t="shared" si="5"/>
        <v>06</v>
      </c>
      <c r="E5">
        <v>20211206</v>
      </c>
      <c r="F5">
        <v>-12726</v>
      </c>
    </row>
    <row r="6" spans="2:6" x14ac:dyDescent="0.45">
      <c r="B6" t="str">
        <f t="shared" si="3"/>
        <v>2021</v>
      </c>
      <c r="C6" t="str">
        <f t="shared" si="4"/>
        <v>12</v>
      </c>
      <c r="D6" t="str">
        <f t="shared" si="5"/>
        <v>08</v>
      </c>
      <c r="E6">
        <v>20211208</v>
      </c>
      <c r="F6">
        <v>-12726</v>
      </c>
    </row>
    <row r="7" spans="2:6" x14ac:dyDescent="0.45">
      <c r="B7" t="str">
        <f t="shared" si="3"/>
        <v>2021</v>
      </c>
      <c r="C7" t="str">
        <f t="shared" si="4"/>
        <v>12</v>
      </c>
      <c r="D7" t="str">
        <f t="shared" si="5"/>
        <v>10</v>
      </c>
      <c r="E7">
        <v>20211210</v>
      </c>
      <c r="F7">
        <v>-12726</v>
      </c>
    </row>
    <row r="8" spans="2:6" x14ac:dyDescent="0.45">
      <c r="B8" t="str">
        <f t="shared" si="3"/>
        <v>2021</v>
      </c>
      <c r="C8" t="str">
        <f t="shared" si="4"/>
        <v>12</v>
      </c>
      <c r="D8" t="str">
        <f t="shared" si="5"/>
        <v>12</v>
      </c>
      <c r="E8">
        <v>20211212</v>
      </c>
      <c r="F8">
        <v>-12726</v>
      </c>
    </row>
    <row r="9" spans="2:6" x14ac:dyDescent="0.45">
      <c r="B9" t="str">
        <f t="shared" si="3"/>
        <v>2021</v>
      </c>
      <c r="C9" t="str">
        <f t="shared" si="4"/>
        <v>12</v>
      </c>
      <c r="D9" t="str">
        <f t="shared" si="5"/>
        <v>14</v>
      </c>
      <c r="E9">
        <v>20211214</v>
      </c>
      <c r="F9">
        <v>-12726</v>
      </c>
    </row>
    <row r="10" spans="2:6" x14ac:dyDescent="0.45">
      <c r="B10" t="str">
        <f t="shared" si="3"/>
        <v>2021</v>
      </c>
      <c r="C10" t="str">
        <f t="shared" si="4"/>
        <v>12</v>
      </c>
      <c r="D10" t="str">
        <f t="shared" si="5"/>
        <v>16</v>
      </c>
      <c r="E10">
        <v>20211216</v>
      </c>
      <c r="F10">
        <v>-12726</v>
      </c>
    </row>
    <row r="11" spans="2:6" x14ac:dyDescent="0.45">
      <c r="B11" t="str">
        <f t="shared" si="3"/>
        <v>2021</v>
      </c>
      <c r="C11" t="str">
        <f t="shared" si="4"/>
        <v>12</v>
      </c>
      <c r="D11" t="str">
        <f t="shared" si="5"/>
        <v>18</v>
      </c>
      <c r="E11">
        <v>20211218</v>
      </c>
      <c r="F11">
        <v>-12726</v>
      </c>
    </row>
    <row r="12" spans="2:6" x14ac:dyDescent="0.45">
      <c r="B12" t="str">
        <f t="shared" si="3"/>
        <v>2021</v>
      </c>
      <c r="C12" t="str">
        <f t="shared" si="4"/>
        <v>12</v>
      </c>
      <c r="D12" t="str">
        <f t="shared" si="5"/>
        <v>20</v>
      </c>
      <c r="E12">
        <v>20211220</v>
      </c>
      <c r="F12">
        <v>-12726</v>
      </c>
    </row>
    <row r="13" spans="2:6" x14ac:dyDescent="0.45">
      <c r="B13" t="str">
        <f t="shared" si="3"/>
        <v>2021</v>
      </c>
      <c r="C13" t="str">
        <f t="shared" si="4"/>
        <v>12</v>
      </c>
      <c r="D13" t="str">
        <f t="shared" si="5"/>
        <v>22</v>
      </c>
      <c r="E13">
        <v>20211222</v>
      </c>
      <c r="F13">
        <v>-12726</v>
      </c>
    </row>
    <row r="14" spans="2:6" x14ac:dyDescent="0.45">
      <c r="B14" t="str">
        <f t="shared" si="3"/>
        <v>2021</v>
      </c>
      <c r="C14" t="str">
        <f t="shared" si="4"/>
        <v>12</v>
      </c>
      <c r="D14" t="str">
        <f t="shared" si="5"/>
        <v>24</v>
      </c>
      <c r="E14">
        <v>20211224</v>
      </c>
      <c r="F14">
        <v>-12726</v>
      </c>
    </row>
    <row r="15" spans="2:6" x14ac:dyDescent="0.45">
      <c r="B15" t="str">
        <f t="shared" si="3"/>
        <v>2021</v>
      </c>
      <c r="C15" t="str">
        <f t="shared" si="4"/>
        <v>12</v>
      </c>
      <c r="D15" t="str">
        <f t="shared" si="5"/>
        <v>26</v>
      </c>
      <c r="E15">
        <v>20211226</v>
      </c>
      <c r="F15">
        <v>-12726</v>
      </c>
    </row>
    <row r="16" spans="2:6" x14ac:dyDescent="0.45">
      <c r="B16" t="str">
        <f t="shared" si="0"/>
        <v>2021</v>
      </c>
      <c r="C16" t="str">
        <f t="shared" si="1"/>
        <v>12</v>
      </c>
      <c r="D16" t="str">
        <f t="shared" si="2"/>
        <v>28</v>
      </c>
      <c r="E16">
        <v>20211228</v>
      </c>
      <c r="F16">
        <v>-12726</v>
      </c>
    </row>
    <row r="17" spans="2:6" x14ac:dyDescent="0.45">
      <c r="B17" t="str">
        <f t="shared" ref="B17:B31" si="6">LEFT(E17,4)</f>
        <v>2021</v>
      </c>
      <c r="C17" t="str">
        <f t="shared" ref="C17:C31" si="7">MID(E17,5,2)</f>
        <v>12</v>
      </c>
      <c r="D17" t="str">
        <f t="shared" ref="D17:D31" si="8">RIGHT(E17,2)</f>
        <v>30</v>
      </c>
      <c r="E17">
        <v>20211230</v>
      </c>
      <c r="F17">
        <v>-12726</v>
      </c>
    </row>
    <row r="18" spans="2:6" x14ac:dyDescent="0.45">
      <c r="B18" t="str">
        <f t="shared" si="6"/>
        <v>2022</v>
      </c>
      <c r="C18" t="str">
        <f t="shared" si="7"/>
        <v>01</v>
      </c>
      <c r="D18" t="str">
        <f t="shared" si="8"/>
        <v>01</v>
      </c>
      <c r="E18">
        <v>20220101</v>
      </c>
      <c r="F18">
        <v>-12339</v>
      </c>
    </row>
    <row r="19" spans="2:6" x14ac:dyDescent="0.45">
      <c r="B19" t="str">
        <f t="shared" si="6"/>
        <v>2022</v>
      </c>
      <c r="C19" t="str">
        <f t="shared" si="7"/>
        <v>01</v>
      </c>
      <c r="D19" t="str">
        <f t="shared" si="8"/>
        <v>03</v>
      </c>
      <c r="E19">
        <v>20220103</v>
      </c>
      <c r="F19">
        <v>-11952</v>
      </c>
    </row>
    <row r="20" spans="2:6" x14ac:dyDescent="0.45">
      <c r="B20" t="str">
        <f t="shared" si="6"/>
        <v>2022</v>
      </c>
      <c r="C20" t="str">
        <f t="shared" si="7"/>
        <v>01</v>
      </c>
      <c r="D20" t="str">
        <f t="shared" si="8"/>
        <v>05</v>
      </c>
      <c r="E20">
        <v>20220105</v>
      </c>
      <c r="F20">
        <v>-11565</v>
      </c>
    </row>
    <row r="21" spans="2:6" x14ac:dyDescent="0.45">
      <c r="B21" t="str">
        <f t="shared" si="6"/>
        <v>2022</v>
      </c>
      <c r="C21" t="str">
        <f t="shared" si="7"/>
        <v>01</v>
      </c>
      <c r="D21" t="str">
        <f t="shared" si="8"/>
        <v>07</v>
      </c>
      <c r="E21">
        <v>20220107</v>
      </c>
      <c r="F21">
        <v>-11178</v>
      </c>
    </row>
    <row r="22" spans="2:6" x14ac:dyDescent="0.45">
      <c r="B22" t="str">
        <f t="shared" si="6"/>
        <v>2022</v>
      </c>
      <c r="C22" t="str">
        <f t="shared" si="7"/>
        <v>01</v>
      </c>
      <c r="D22" t="str">
        <f t="shared" si="8"/>
        <v>09</v>
      </c>
      <c r="E22">
        <v>20220109</v>
      </c>
      <c r="F22">
        <v>-10791</v>
      </c>
    </row>
    <row r="23" spans="2:6" x14ac:dyDescent="0.45">
      <c r="B23" t="str">
        <f t="shared" si="6"/>
        <v>2022</v>
      </c>
      <c r="C23" t="str">
        <f t="shared" si="7"/>
        <v>01</v>
      </c>
      <c r="D23" t="str">
        <f t="shared" si="8"/>
        <v>11</v>
      </c>
      <c r="E23">
        <v>20220111</v>
      </c>
      <c r="F23">
        <v>-10404</v>
      </c>
    </row>
    <row r="24" spans="2:6" x14ac:dyDescent="0.45">
      <c r="B24" t="str">
        <f t="shared" si="6"/>
        <v>2022</v>
      </c>
      <c r="C24" t="str">
        <f t="shared" si="7"/>
        <v>01</v>
      </c>
      <c r="D24" t="str">
        <f t="shared" si="8"/>
        <v>13</v>
      </c>
      <c r="E24">
        <v>20220113</v>
      </c>
      <c r="F24">
        <v>-10017</v>
      </c>
    </row>
    <row r="25" spans="2:6" x14ac:dyDescent="0.45">
      <c r="B25" t="str">
        <f t="shared" si="6"/>
        <v>2022</v>
      </c>
      <c r="C25" t="str">
        <f t="shared" si="7"/>
        <v>01</v>
      </c>
      <c r="D25" t="str">
        <f t="shared" si="8"/>
        <v>15</v>
      </c>
      <c r="E25">
        <v>20220115</v>
      </c>
      <c r="F25">
        <v>-9630</v>
      </c>
    </row>
    <row r="26" spans="2:6" x14ac:dyDescent="0.45">
      <c r="B26" t="str">
        <f t="shared" si="6"/>
        <v>2022</v>
      </c>
      <c r="C26" t="str">
        <f t="shared" si="7"/>
        <v>01</v>
      </c>
      <c r="D26" t="str">
        <f t="shared" si="8"/>
        <v>17</v>
      </c>
      <c r="E26">
        <v>20220117</v>
      </c>
      <c r="F26">
        <v>-9243</v>
      </c>
    </row>
    <row r="27" spans="2:6" x14ac:dyDescent="0.45">
      <c r="B27" t="str">
        <f t="shared" si="6"/>
        <v>2022</v>
      </c>
      <c r="C27" t="str">
        <f t="shared" si="7"/>
        <v>01</v>
      </c>
      <c r="D27" t="str">
        <f t="shared" si="8"/>
        <v>19</v>
      </c>
      <c r="E27">
        <v>20220119</v>
      </c>
      <c r="F27">
        <v>-8856</v>
      </c>
    </row>
    <row r="28" spans="2:6" x14ac:dyDescent="0.45">
      <c r="B28" t="str">
        <f t="shared" si="6"/>
        <v>2022</v>
      </c>
      <c r="C28" t="str">
        <f t="shared" si="7"/>
        <v>01</v>
      </c>
      <c r="D28" t="str">
        <f t="shared" si="8"/>
        <v>21</v>
      </c>
      <c r="E28">
        <v>20220121</v>
      </c>
      <c r="F28">
        <v>-8469</v>
      </c>
    </row>
    <row r="29" spans="2:6" x14ac:dyDescent="0.45">
      <c r="B29" t="str">
        <f t="shared" si="6"/>
        <v>2022</v>
      </c>
      <c r="C29" t="str">
        <f t="shared" si="7"/>
        <v>01</v>
      </c>
      <c r="D29" t="str">
        <f t="shared" si="8"/>
        <v>23</v>
      </c>
      <c r="E29">
        <v>20220123</v>
      </c>
      <c r="F29">
        <v>-8082</v>
      </c>
    </row>
    <row r="30" spans="2:6" x14ac:dyDescent="0.45">
      <c r="B30" t="str">
        <f t="shared" si="6"/>
        <v>2022</v>
      </c>
      <c r="C30" t="str">
        <f t="shared" si="7"/>
        <v>01</v>
      </c>
      <c r="D30" t="str">
        <f t="shared" si="8"/>
        <v>25</v>
      </c>
      <c r="E30">
        <v>20220125</v>
      </c>
      <c r="F30">
        <v>-7695</v>
      </c>
    </row>
    <row r="31" spans="2:6" x14ac:dyDescent="0.45">
      <c r="B31" t="str">
        <f t="shared" si="6"/>
        <v>2022</v>
      </c>
      <c r="C31" t="str">
        <f t="shared" si="7"/>
        <v>01</v>
      </c>
      <c r="D31" t="str">
        <f t="shared" si="8"/>
        <v>27</v>
      </c>
      <c r="E31">
        <v>20220127</v>
      </c>
      <c r="F31">
        <v>-7308</v>
      </c>
    </row>
    <row r="32" spans="2:6" x14ac:dyDescent="0.45">
      <c r="B32" t="str">
        <f t="shared" ref="B27:B36" si="9">LEFT(E32,4)</f>
        <v>2022</v>
      </c>
      <c r="C32" t="str">
        <f t="shared" ref="C27:C36" si="10">MID(E32,5,2)</f>
        <v>01</v>
      </c>
      <c r="D32" t="str">
        <f t="shared" ref="D27:D36" si="11">RIGHT(E32,2)</f>
        <v>29</v>
      </c>
      <c r="E32">
        <v>20220129</v>
      </c>
      <c r="F32">
        <v>-6921</v>
      </c>
    </row>
    <row r="33" spans="2:6" x14ac:dyDescent="0.45">
      <c r="B33" t="str">
        <f t="shared" si="9"/>
        <v>2022</v>
      </c>
      <c r="C33" t="str">
        <f t="shared" si="10"/>
        <v>01</v>
      </c>
      <c r="D33" t="str">
        <f t="shared" si="11"/>
        <v>31</v>
      </c>
      <c r="E33">
        <v>20220131</v>
      </c>
      <c r="F33">
        <v>-6534</v>
      </c>
    </row>
    <row r="34" spans="2:6" x14ac:dyDescent="0.45">
      <c r="B34" t="str">
        <f t="shared" si="9"/>
        <v>2022</v>
      </c>
      <c r="C34" t="str">
        <f t="shared" si="10"/>
        <v>02</v>
      </c>
      <c r="D34" t="str">
        <f t="shared" si="11"/>
        <v>02</v>
      </c>
      <c r="E34">
        <v>20220202</v>
      </c>
      <c r="F34">
        <v>-6147</v>
      </c>
    </row>
    <row r="35" spans="2:6" x14ac:dyDescent="0.45">
      <c r="B35" t="str">
        <f t="shared" si="9"/>
        <v>2022</v>
      </c>
      <c r="C35" t="str">
        <f t="shared" si="10"/>
        <v>02</v>
      </c>
      <c r="D35" t="str">
        <f t="shared" si="11"/>
        <v>04</v>
      </c>
      <c r="E35">
        <v>20220204</v>
      </c>
      <c r="F35">
        <v>-5760</v>
      </c>
    </row>
    <row r="36" spans="2:6" x14ac:dyDescent="0.45">
      <c r="B36" t="str">
        <f t="shared" si="9"/>
        <v>2022</v>
      </c>
      <c r="C36" t="str">
        <f t="shared" si="10"/>
        <v>02</v>
      </c>
      <c r="D36" t="str">
        <f t="shared" si="11"/>
        <v>06</v>
      </c>
      <c r="E36">
        <v>20220206</v>
      </c>
      <c r="F36">
        <v>-5373</v>
      </c>
    </row>
    <row r="37" spans="2:6" x14ac:dyDescent="0.45">
      <c r="B37" t="str">
        <f t="shared" ref="B37:B45" si="12">LEFT(E37,4)</f>
        <v>2022</v>
      </c>
      <c r="C37" t="str">
        <f t="shared" ref="C37:C45" si="13">MID(E37,5,2)</f>
        <v>02</v>
      </c>
      <c r="D37" t="str">
        <f t="shared" ref="D37:D45" si="14">RIGHT(E37,2)</f>
        <v>08</v>
      </c>
      <c r="E37">
        <v>20220208</v>
      </c>
      <c r="F37">
        <v>-4986</v>
      </c>
    </row>
    <row r="38" spans="2:6" x14ac:dyDescent="0.45">
      <c r="B38" t="str">
        <f t="shared" si="12"/>
        <v>2022</v>
      </c>
      <c r="C38" t="str">
        <f t="shared" si="13"/>
        <v>02</v>
      </c>
      <c r="D38" t="str">
        <f t="shared" si="14"/>
        <v>10</v>
      </c>
      <c r="E38">
        <v>20220210</v>
      </c>
      <c r="F38">
        <v>-4599</v>
      </c>
    </row>
    <row r="39" spans="2:6" x14ac:dyDescent="0.45">
      <c r="B39" t="str">
        <f t="shared" si="12"/>
        <v>2022</v>
      </c>
      <c r="C39" t="str">
        <f t="shared" si="13"/>
        <v>02</v>
      </c>
      <c r="D39" t="str">
        <f t="shared" si="14"/>
        <v>12</v>
      </c>
      <c r="E39">
        <v>20220212</v>
      </c>
      <c r="F39">
        <v>-4212</v>
      </c>
    </row>
    <row r="40" spans="2:6" x14ac:dyDescent="0.45">
      <c r="B40" t="str">
        <f t="shared" si="12"/>
        <v>2022</v>
      </c>
      <c r="C40" t="str">
        <f t="shared" si="13"/>
        <v>02</v>
      </c>
      <c r="D40" t="str">
        <f t="shared" si="14"/>
        <v>14</v>
      </c>
      <c r="E40">
        <v>20220214</v>
      </c>
      <c r="F40">
        <v>-3825</v>
      </c>
    </row>
    <row r="41" spans="2:6" x14ac:dyDescent="0.45">
      <c r="B41" t="str">
        <f t="shared" si="12"/>
        <v>2022</v>
      </c>
      <c r="C41" t="str">
        <f t="shared" si="13"/>
        <v>02</v>
      </c>
      <c r="D41" t="str">
        <f t="shared" si="14"/>
        <v>16</v>
      </c>
      <c r="E41">
        <v>20220216</v>
      </c>
      <c r="F41">
        <v>-3438</v>
      </c>
    </row>
    <row r="42" spans="2:6" x14ac:dyDescent="0.45">
      <c r="B42" t="str">
        <f t="shared" si="12"/>
        <v>2022</v>
      </c>
      <c r="C42" t="str">
        <f t="shared" si="13"/>
        <v>02</v>
      </c>
      <c r="D42" t="str">
        <f t="shared" si="14"/>
        <v>18</v>
      </c>
      <c r="E42">
        <v>20220218</v>
      </c>
      <c r="F42">
        <v>-3051</v>
      </c>
    </row>
    <row r="43" spans="2:6" x14ac:dyDescent="0.45">
      <c r="B43" t="str">
        <f t="shared" si="12"/>
        <v>2022</v>
      </c>
      <c r="C43" t="str">
        <f t="shared" si="13"/>
        <v>02</v>
      </c>
      <c r="D43" t="str">
        <f t="shared" si="14"/>
        <v>20</v>
      </c>
      <c r="E43">
        <v>20220220</v>
      </c>
      <c r="F43">
        <v>-2664</v>
      </c>
    </row>
    <row r="44" spans="2:6" x14ac:dyDescent="0.45">
      <c r="B44" t="str">
        <f t="shared" si="12"/>
        <v>2022</v>
      </c>
      <c r="C44" t="str">
        <f t="shared" si="13"/>
        <v>02</v>
      </c>
      <c r="D44" t="str">
        <f t="shared" si="14"/>
        <v>22</v>
      </c>
      <c r="E44">
        <v>20220222</v>
      </c>
      <c r="F44">
        <v>-2277</v>
      </c>
    </row>
    <row r="45" spans="2:6" x14ac:dyDescent="0.45">
      <c r="B45" t="str">
        <f t="shared" si="12"/>
        <v>2022</v>
      </c>
      <c r="C45" t="str">
        <f t="shared" si="13"/>
        <v>02</v>
      </c>
      <c r="D45" t="str">
        <f t="shared" si="14"/>
        <v>24</v>
      </c>
      <c r="E45">
        <v>20220224</v>
      </c>
      <c r="F45">
        <v>-1890</v>
      </c>
    </row>
    <row r="46" spans="2:6" x14ac:dyDescent="0.45">
      <c r="B46" t="str">
        <f t="shared" ref="B46:B49" si="15">LEFT(E46,4)</f>
        <v>2022</v>
      </c>
      <c r="C46" t="str">
        <f t="shared" ref="C46:C49" si="16">MID(E46,5,2)</f>
        <v>02</v>
      </c>
      <c r="D46" t="str">
        <f t="shared" ref="D46:D49" si="17">RIGHT(E46,2)</f>
        <v>26</v>
      </c>
      <c r="E46">
        <v>20220226</v>
      </c>
      <c r="F46">
        <v>-1503</v>
      </c>
    </row>
    <row r="47" spans="2:6" x14ac:dyDescent="0.45">
      <c r="B47" t="str">
        <f t="shared" si="15"/>
        <v>2022</v>
      </c>
      <c r="C47" t="str">
        <f t="shared" si="16"/>
        <v>02</v>
      </c>
      <c r="D47" t="str">
        <f t="shared" si="17"/>
        <v>28</v>
      </c>
      <c r="E47">
        <v>20220228</v>
      </c>
      <c r="F47">
        <v>-1116</v>
      </c>
    </row>
    <row r="48" spans="2:6" x14ac:dyDescent="0.45">
      <c r="B48" t="str">
        <f t="shared" si="15"/>
        <v>2022</v>
      </c>
      <c r="C48" t="str">
        <f t="shared" si="16"/>
        <v>03</v>
      </c>
      <c r="D48" t="str">
        <f t="shared" si="17"/>
        <v>01</v>
      </c>
      <c r="E48">
        <v>20220301</v>
      </c>
      <c r="F48">
        <v>-729</v>
      </c>
    </row>
    <row r="49" spans="2:6" x14ac:dyDescent="0.45">
      <c r="B49" t="str">
        <f t="shared" si="15"/>
        <v>2022</v>
      </c>
      <c r="C49" t="str">
        <f t="shared" si="16"/>
        <v>03</v>
      </c>
      <c r="D49" t="str">
        <f t="shared" si="17"/>
        <v>03</v>
      </c>
      <c r="E49">
        <v>20220303</v>
      </c>
      <c r="F49">
        <v>-342</v>
      </c>
    </row>
    <row r="50" spans="2:6" x14ac:dyDescent="0.45">
      <c r="B50" t="str">
        <f t="shared" ref="B50:B51" si="18">LEFT(E50,4)</f>
        <v>2022</v>
      </c>
      <c r="C50" t="str">
        <f t="shared" ref="C50:C51" si="19">MID(E50,5,2)</f>
        <v>03</v>
      </c>
      <c r="D50" t="str">
        <f t="shared" ref="D50:D51" si="20">RIGHT(E50,2)</f>
        <v>05</v>
      </c>
      <c r="E50">
        <v>20220305</v>
      </c>
      <c r="F50">
        <v>45</v>
      </c>
    </row>
    <row r="51" spans="2:6" x14ac:dyDescent="0.45">
      <c r="B51" t="str">
        <f t="shared" si="18"/>
        <v>2022</v>
      </c>
      <c r="C51" t="str">
        <f t="shared" si="19"/>
        <v>03</v>
      </c>
      <c r="D51" t="str">
        <f t="shared" si="20"/>
        <v>07</v>
      </c>
      <c r="E51">
        <v>20220307</v>
      </c>
      <c r="F51">
        <v>432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AC2B6-FF15-4327-8A7D-1E50C9EB026D}">
  <sheetPr codeName="Sheet87"/>
  <dimension ref="A3:B34"/>
  <sheetViews>
    <sheetView zoomScale="85" zoomScaleNormal="85" workbookViewId="0">
      <selection activeCell="B24" sqref="A24:B24"/>
    </sheetView>
  </sheetViews>
  <sheetFormatPr defaultRowHeight="18" x14ac:dyDescent="0.45"/>
  <cols>
    <col min="1" max="1" width="11.5" bestFit="1" customWidth="1"/>
    <col min="2" max="2" width="15.5" bestFit="1" customWidth="1"/>
  </cols>
  <sheetData>
    <row r="3" spans="1:2" x14ac:dyDescent="0.45">
      <c r="A3" s="2" t="s">
        <v>5</v>
      </c>
      <c r="B3" t="s">
        <v>11</v>
      </c>
    </row>
    <row r="4" spans="1:2" x14ac:dyDescent="0.45">
      <c r="A4" s="3" t="s">
        <v>12</v>
      </c>
      <c r="B4" s="1">
        <v>-13068</v>
      </c>
    </row>
    <row r="5" spans="1:2" x14ac:dyDescent="0.45">
      <c r="A5" s="3" t="s">
        <v>13</v>
      </c>
      <c r="B5" s="1">
        <v>-6147</v>
      </c>
    </row>
    <row r="6" spans="1:2" x14ac:dyDescent="0.45">
      <c r="A6" s="3" t="s">
        <v>14</v>
      </c>
      <c r="B6" s="1">
        <v>-12294</v>
      </c>
    </row>
    <row r="7" spans="1:2" x14ac:dyDescent="0.45">
      <c r="A7" s="3" t="s">
        <v>15</v>
      </c>
      <c r="B7" s="1">
        <v>-5760</v>
      </c>
    </row>
    <row r="8" spans="1:2" x14ac:dyDescent="0.45">
      <c r="A8" s="3" t="s">
        <v>7</v>
      </c>
      <c r="B8" s="1">
        <v>-11520</v>
      </c>
    </row>
    <row r="9" spans="1:2" x14ac:dyDescent="0.45">
      <c r="A9" s="3" t="s">
        <v>8</v>
      </c>
      <c r="B9" s="1">
        <v>-5373</v>
      </c>
    </row>
    <row r="10" spans="1:2" x14ac:dyDescent="0.45">
      <c r="A10" s="3" t="s">
        <v>9</v>
      </c>
      <c r="B10" s="1">
        <v>-10746</v>
      </c>
    </row>
    <row r="11" spans="1:2" x14ac:dyDescent="0.45">
      <c r="A11" s="3" t="s">
        <v>16</v>
      </c>
      <c r="B11" s="1">
        <v>-2664</v>
      </c>
    </row>
    <row r="12" spans="1:2" x14ac:dyDescent="0.45">
      <c r="A12" s="3" t="s">
        <v>17</v>
      </c>
      <c r="B12" s="1">
        <v>-8469</v>
      </c>
    </row>
    <row r="13" spans="1:2" x14ac:dyDescent="0.45">
      <c r="A13" s="3" t="s">
        <v>18</v>
      </c>
      <c r="B13" s="1">
        <v>-2277</v>
      </c>
    </row>
    <row r="14" spans="1:2" x14ac:dyDescent="0.45">
      <c r="A14" s="3" t="s">
        <v>19</v>
      </c>
      <c r="B14" s="1">
        <v>-8082</v>
      </c>
    </row>
    <row r="15" spans="1:2" x14ac:dyDescent="0.45">
      <c r="A15" s="3" t="s">
        <v>20</v>
      </c>
      <c r="B15" s="1">
        <v>-1890</v>
      </c>
    </row>
    <row r="16" spans="1:2" x14ac:dyDescent="0.45">
      <c r="A16" s="3" t="s">
        <v>21</v>
      </c>
      <c r="B16" s="1">
        <v>-7695</v>
      </c>
    </row>
    <row r="17" spans="1:2" x14ac:dyDescent="0.45">
      <c r="A17" s="3" t="s">
        <v>22</v>
      </c>
      <c r="B17" s="1">
        <v>-1503</v>
      </c>
    </row>
    <row r="18" spans="1:2" x14ac:dyDescent="0.45">
      <c r="A18" s="3" t="s">
        <v>23</v>
      </c>
      <c r="B18" s="1">
        <v>-7308</v>
      </c>
    </row>
    <row r="19" spans="1:2" x14ac:dyDescent="0.45">
      <c r="A19" s="3" t="s">
        <v>24</v>
      </c>
      <c r="B19" s="1">
        <v>-1116</v>
      </c>
    </row>
    <row r="20" spans="1:2" x14ac:dyDescent="0.45">
      <c r="A20" s="3" t="s">
        <v>26</v>
      </c>
      <c r="B20" s="1">
        <v>-10791</v>
      </c>
    </row>
    <row r="21" spans="1:2" x14ac:dyDescent="0.45">
      <c r="A21" s="3" t="s">
        <v>28</v>
      </c>
      <c r="B21" s="1">
        <v>-10404</v>
      </c>
    </row>
    <row r="22" spans="1:2" x14ac:dyDescent="0.45">
      <c r="A22" s="3" t="s">
        <v>30</v>
      </c>
      <c r="B22" s="1">
        <v>-10017</v>
      </c>
    </row>
    <row r="23" spans="1:2" x14ac:dyDescent="0.45">
      <c r="A23" s="3" t="s">
        <v>32</v>
      </c>
      <c r="B23" s="1">
        <v>-9630</v>
      </c>
    </row>
    <row r="24" spans="1:2" x14ac:dyDescent="0.45">
      <c r="A24" s="3" t="s">
        <v>33</v>
      </c>
      <c r="B24" s="1">
        <v>-9243</v>
      </c>
    </row>
    <row r="25" spans="1:2" x14ac:dyDescent="0.45">
      <c r="A25" s="3" t="s">
        <v>34</v>
      </c>
      <c r="B25" s="1">
        <v>-8856</v>
      </c>
    </row>
    <row r="26" spans="1:2" x14ac:dyDescent="0.45">
      <c r="A26" s="3" t="s">
        <v>35</v>
      </c>
      <c r="B26" s="1">
        <v>-6921</v>
      </c>
    </row>
    <row r="27" spans="1:2" x14ac:dyDescent="0.45">
      <c r="A27" s="3" t="s">
        <v>36</v>
      </c>
      <c r="B27" s="1">
        <v>-6534</v>
      </c>
    </row>
    <row r="28" spans="1:2" x14ac:dyDescent="0.45">
      <c r="A28" s="3" t="s">
        <v>25</v>
      </c>
      <c r="B28" s="1">
        <v>-4986</v>
      </c>
    </row>
    <row r="29" spans="1:2" x14ac:dyDescent="0.45">
      <c r="A29" s="3" t="s">
        <v>27</v>
      </c>
      <c r="B29" s="1">
        <v>-4599</v>
      </c>
    </row>
    <row r="30" spans="1:2" x14ac:dyDescent="0.45">
      <c r="A30" s="3" t="s">
        <v>29</v>
      </c>
      <c r="B30" s="1">
        <v>-4212</v>
      </c>
    </row>
    <row r="31" spans="1:2" x14ac:dyDescent="0.45">
      <c r="A31" s="3" t="s">
        <v>31</v>
      </c>
      <c r="B31" s="1">
        <v>-3825</v>
      </c>
    </row>
    <row r="32" spans="1:2" x14ac:dyDescent="0.45">
      <c r="A32" s="3" t="s">
        <v>37</v>
      </c>
      <c r="B32" s="1">
        <v>-3438</v>
      </c>
    </row>
    <row r="33" spans="1:2" x14ac:dyDescent="0.45">
      <c r="A33" s="3" t="s">
        <v>38</v>
      </c>
      <c r="B33" s="1">
        <v>-3051</v>
      </c>
    </row>
    <row r="34" spans="1:2" x14ac:dyDescent="0.45">
      <c r="A34" s="3" t="s">
        <v>6</v>
      </c>
      <c r="B34" s="1">
        <v>-202419</v>
      </c>
    </row>
  </sheetData>
  <phoneticPr fontId="1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2AFD7-BF5E-4FC4-B347-C0E081FB642B}">
  <sheetPr codeName="Sheet163"/>
  <dimension ref="A1"/>
  <sheetViews>
    <sheetView tabSelected="1"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raw</vt:lpstr>
      <vt:lpstr>pivotraw</vt:lpstr>
      <vt:lpstr>pivot</vt:lpstr>
      <vt:lpstr>Sheet160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thyt</dc:creator>
  <cp:lastModifiedBy>thyt</cp:lastModifiedBy>
  <dcterms:created xsi:type="dcterms:W3CDTF">2022-03-11T12:14:33Z</dcterms:created>
  <dcterms:modified xsi:type="dcterms:W3CDTF">2022-03-19T16:24:39Z</dcterms:modified>
</cp:coreProperties>
</file>