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yt\SELF_S\excel\"/>
    </mc:Choice>
  </mc:AlternateContent>
  <xr:revisionPtr revIDLastSave="0" documentId="13_ncr:1_{559CDD18-9BF8-4A83-BE79-2B3B20E7998F}" xr6:coauthVersionLast="47" xr6:coauthVersionMax="47" xr10:uidLastSave="{00000000-0000-0000-0000-000000000000}"/>
  <bookViews>
    <workbookView xWindow="-108" yWindow="-108" windowWidth="23256" windowHeight="12576" activeTab="2" xr2:uid="{E80BA181-DCEF-4803-BEA2-D4EA6F03A683}"/>
  </bookViews>
  <sheets>
    <sheet name="raw" sheetId="1" r:id="rId1"/>
    <sheet name="pivotraw" sheetId="108" r:id="rId2"/>
    <sheet name="pivot" sheetId="118" r:id="rId3"/>
  </sheets>
  <definedNames>
    <definedName name="_xlnm._FilterDatabase" localSheetId="0" hidden="1">raw!$E:$E</definedName>
    <definedName name="スライサー_d">#N/A</definedName>
    <definedName name="スライサー_m">#N/A</definedName>
    <definedName name="スライサー_y">#N/A</definedName>
  </definedNames>
  <calcPr calcId="191029"/>
  <pivotCaches>
    <pivotCache cacheId="39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7" i="108" l="1"/>
  <c r="C17" i="108"/>
  <c r="B17" i="108"/>
  <c r="D16" i="108"/>
  <c r="C16" i="108"/>
  <c r="B16" i="108"/>
  <c r="D15" i="108"/>
  <c r="C15" i="108"/>
  <c r="B15" i="108"/>
  <c r="D14" i="108"/>
  <c r="C14" i="108"/>
  <c r="B14" i="108"/>
  <c r="D13" i="108"/>
  <c r="C13" i="108"/>
  <c r="B13" i="108"/>
  <c r="D12" i="108"/>
  <c r="C12" i="108"/>
  <c r="B12" i="108"/>
  <c r="D11" i="108"/>
  <c r="C11" i="108"/>
  <c r="B11" i="108"/>
  <c r="D10" i="108"/>
  <c r="C10" i="108"/>
  <c r="B10" i="108"/>
  <c r="D9" i="108"/>
  <c r="C9" i="108"/>
  <c r="B9" i="108"/>
  <c r="D8" i="108"/>
  <c r="C8" i="108"/>
  <c r="B8" i="108"/>
  <c r="D7" i="108"/>
  <c r="C7" i="108"/>
  <c r="B7" i="108"/>
  <c r="D6" i="108"/>
  <c r="C6" i="108"/>
  <c r="B6" i="108"/>
  <c r="D5" i="108"/>
  <c r="C5" i="108"/>
  <c r="B5" i="108"/>
  <c r="D4" i="108"/>
  <c r="C4" i="108"/>
  <c r="B4" i="108"/>
  <c r="D3" i="108"/>
  <c r="C3" i="108"/>
  <c r="B3" i="108"/>
  <c r="D2" i="108"/>
  <c r="C2" i="108"/>
  <c r="B2" i="108"/>
  <c r="B3" i="1"/>
  <c r="C3" i="1"/>
  <c r="D3" i="1"/>
  <c r="B4" i="1"/>
  <c r="C4" i="1"/>
  <c r="D4" i="1"/>
  <c r="B5" i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B14" i="1"/>
  <c r="C14" i="1"/>
  <c r="D14" i="1"/>
  <c r="B15" i="1"/>
  <c r="C15" i="1"/>
  <c r="D15" i="1"/>
  <c r="B16" i="1"/>
  <c r="C16" i="1"/>
  <c r="D16" i="1"/>
  <c r="B17" i="1"/>
  <c r="C17" i="1"/>
  <c r="D17" i="1"/>
  <c r="D2" i="1"/>
  <c r="C2" i="1"/>
  <c r="B2" i="1"/>
  <c r="I65" i="1"/>
  <c r="H65" i="1"/>
  <c r="G65" i="1"/>
</calcChain>
</file>

<file path=xl/sharedStrings.xml><?xml version="1.0" encoding="utf-8"?>
<sst xmlns="http://schemas.openxmlformats.org/spreadsheetml/2006/main" count="15" uniqueCount="12">
  <si>
    <t>c</t>
    <phoneticPr fontId="1"/>
  </si>
  <si>
    <t>ymd</t>
    <phoneticPr fontId="1"/>
  </si>
  <si>
    <t>d</t>
    <phoneticPr fontId="1"/>
  </si>
  <si>
    <t>y</t>
    <phoneticPr fontId="1"/>
  </si>
  <si>
    <t>m</t>
    <phoneticPr fontId="1"/>
  </si>
  <si>
    <t>行ラベル</t>
  </si>
  <si>
    <t>総計</t>
  </si>
  <si>
    <t>05</t>
  </si>
  <si>
    <t>06</t>
  </si>
  <si>
    <t>07</t>
  </si>
  <si>
    <t>買い物額</t>
    <rPh sb="0" eb="1">
      <t>カ</t>
    </rPh>
    <rPh sb="2" eb="4">
      <t>モノガク</t>
    </rPh>
    <phoneticPr fontId="1"/>
  </si>
  <si>
    <t>合計 / 買い物額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</si>
</sst>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228600</xdr:colOff>
      <xdr:row>4</xdr:row>
      <xdr:rowOff>0</xdr:rowOff>
    </xdr:from>
    <xdr:to>
      <xdr:col>8</xdr:col>
      <xdr:colOff>45720</xdr:colOff>
      <xdr:row>15</xdr:row>
      <xdr:rowOff>66675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y">
              <a:extLst>
                <a:ext uri="{FF2B5EF4-FFF2-40B4-BE49-F238E27FC236}">
                  <a16:creationId xmlns:a16="http://schemas.microsoft.com/office/drawing/2014/main" id="{2334643D-ADDF-4107-BD40-5F4C28D404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2900" y="914400"/>
              <a:ext cx="1828800" cy="2581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38100</xdr:colOff>
      <xdr:row>6</xdr:row>
      <xdr:rowOff>22860</xdr:rowOff>
    </xdr:from>
    <xdr:to>
      <xdr:col>8</xdr:col>
      <xdr:colOff>525780</xdr:colOff>
      <xdr:row>17</xdr:row>
      <xdr:rowOff>89535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m">
              <a:extLst>
                <a:ext uri="{FF2B5EF4-FFF2-40B4-BE49-F238E27FC236}">
                  <a16:creationId xmlns:a16="http://schemas.microsoft.com/office/drawing/2014/main" id="{F98C1EA7-93A1-4A1D-B25D-2473075296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32960" y="1394460"/>
              <a:ext cx="1828800" cy="2581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624840</xdr:colOff>
      <xdr:row>4</xdr:row>
      <xdr:rowOff>0</xdr:rowOff>
    </xdr:from>
    <xdr:to>
      <xdr:col>11</xdr:col>
      <xdr:colOff>441960</xdr:colOff>
      <xdr:row>15</xdr:row>
      <xdr:rowOff>66675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d">
              <a:extLst>
                <a:ext uri="{FF2B5EF4-FFF2-40B4-BE49-F238E27FC236}">
                  <a16:creationId xmlns:a16="http://schemas.microsoft.com/office/drawing/2014/main" id="{65232FA1-A1C4-4B41-B38A-FDAD66C655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60820" y="914400"/>
              <a:ext cx="1828800" cy="2581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yt" refreshedDate="44633.949092592593" createdVersion="7" refreshedVersion="7" minRefreshableVersion="3" recordCount="16" xr:uid="{B37EC586-7BDD-45DF-871E-13AD53A55CA2}">
  <cacheSource type="worksheet">
    <worksheetSource ref="B1:F17" sheet="pivotraw"/>
  </cacheSource>
  <cacheFields count="5">
    <cacheField name="y" numFmtId="0">
      <sharedItems count="1">
        <s v="2022"/>
      </sharedItems>
    </cacheField>
    <cacheField name="m" numFmtId="0">
      <sharedItems count="2">
        <s v="02"/>
        <s v="03"/>
      </sharedItems>
    </cacheField>
    <cacheField name="d" numFmtId="0">
      <sharedItems count="16">
        <s v="20"/>
        <s v="21"/>
        <s v="22"/>
        <s v="23"/>
        <s v="24"/>
        <s v="25"/>
        <s v="26"/>
        <s v="27"/>
        <s v="28"/>
        <s v="01"/>
        <s v="02"/>
        <s v="03"/>
        <s v="04"/>
        <s v="05"/>
        <s v="06"/>
        <s v="07"/>
      </sharedItems>
    </cacheField>
    <cacheField name="ymd" numFmtId="0">
      <sharedItems containsSemiMixedTypes="0" containsString="0" containsNumber="1" containsInteger="1" minValue="20220220" maxValue="20220307"/>
    </cacheField>
    <cacheField name="買い物額" numFmtId="0">
      <sharedItems containsString="0" containsBlank="1" containsNumber="1" containsInteger="1" minValue="4" maxValue="62435"/>
    </cacheField>
  </cacheFields>
  <extLst>
    <ext xmlns:x14="http://schemas.microsoft.com/office/spreadsheetml/2009/9/main" uri="{725AE2AE-9491-48be-B2B4-4EB974FC3084}">
      <x14:pivotCacheDefinition pivotCacheId="160454237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x v="0"/>
    <x v="0"/>
    <n v="20220220"/>
    <n v="5"/>
  </r>
  <r>
    <x v="0"/>
    <x v="0"/>
    <x v="1"/>
    <n v="20220221"/>
    <n v="43"/>
  </r>
  <r>
    <x v="0"/>
    <x v="0"/>
    <x v="2"/>
    <n v="20220222"/>
    <m/>
  </r>
  <r>
    <x v="0"/>
    <x v="0"/>
    <x v="3"/>
    <n v="20220223"/>
    <n v="62435"/>
  </r>
  <r>
    <x v="0"/>
    <x v="0"/>
    <x v="4"/>
    <n v="20220224"/>
    <n v="32432"/>
  </r>
  <r>
    <x v="0"/>
    <x v="0"/>
    <x v="5"/>
    <n v="20220225"/>
    <n v="6"/>
  </r>
  <r>
    <x v="0"/>
    <x v="0"/>
    <x v="6"/>
    <n v="20220226"/>
    <n v="43"/>
  </r>
  <r>
    <x v="0"/>
    <x v="0"/>
    <x v="7"/>
    <n v="20220227"/>
    <n v="342"/>
  </r>
  <r>
    <x v="0"/>
    <x v="0"/>
    <x v="8"/>
    <n v="20220228"/>
    <n v="6"/>
  </r>
  <r>
    <x v="0"/>
    <x v="1"/>
    <x v="9"/>
    <n v="20220301"/>
    <n v="453"/>
  </r>
  <r>
    <x v="0"/>
    <x v="1"/>
    <x v="10"/>
    <n v="20220302"/>
    <n v="4"/>
  </r>
  <r>
    <x v="0"/>
    <x v="1"/>
    <x v="11"/>
    <n v="20220303"/>
    <n v="6754"/>
  </r>
  <r>
    <x v="0"/>
    <x v="1"/>
    <x v="12"/>
    <n v="20220304"/>
    <n v="36"/>
  </r>
  <r>
    <x v="0"/>
    <x v="1"/>
    <x v="13"/>
    <n v="20220305"/>
    <n v="45"/>
  </r>
  <r>
    <x v="0"/>
    <x v="1"/>
    <x v="14"/>
    <n v="20220306"/>
    <n v="6"/>
  </r>
  <r>
    <x v="0"/>
    <x v="1"/>
    <x v="15"/>
    <n v="20220307"/>
    <n v="4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D4D80B-E801-46EC-ACA4-2C3E67DAA4C3}" name="ピボットテーブル7" cacheId="39" applyNumberFormats="0" applyBorderFormats="0" applyFontFormats="0" applyPatternFormats="0" applyAlignmentFormats="0" applyWidthHeightFormats="1" dataCaption="値" updatedVersion="7" minRefreshableVersion="3" useAutoFormatting="1" itemPrintTitles="1" createdVersion="7" indent="0" outline="1" outlineData="1" multipleFieldFilters="0">
  <location ref="A3:B7" firstHeaderRow="1" firstDataRow="1" firstDataCol="1"/>
  <pivotFields count="5">
    <pivotField showAll="0">
      <items count="2">
        <item x="0"/>
        <item t="default"/>
      </items>
    </pivotField>
    <pivotField showAll="0">
      <items count="3">
        <item x="0"/>
        <item x="1"/>
        <item t="default"/>
      </items>
    </pivotField>
    <pivotField axis="axisRow" showAll="0">
      <items count="17">
        <item h="1" x="9"/>
        <item h="1" x="10"/>
        <item h="1" x="11"/>
        <item h="1" x="12"/>
        <item x="13"/>
        <item x="14"/>
        <item x="15"/>
        <item h="1" x="0"/>
        <item h="1" x="1"/>
        <item h="1" x="2"/>
        <item h="1" x="3"/>
        <item h="1" x="4"/>
        <item h="1" x="5"/>
        <item h="1" x="6"/>
        <item h="1" x="7"/>
        <item h="1" x="8"/>
        <item t="default"/>
      </items>
    </pivotField>
    <pivotField showAll="0"/>
    <pivotField dataField="1" showAll="0"/>
  </pivotFields>
  <rowFields count="1">
    <field x="2"/>
  </rowFields>
  <rowItems count="4">
    <i>
      <x v="4"/>
    </i>
    <i>
      <x v="5"/>
    </i>
    <i>
      <x v="6"/>
    </i>
    <i t="grand">
      <x/>
    </i>
  </rowItems>
  <colItems count="1">
    <i/>
  </colItems>
  <dataFields count="1">
    <dataField name="合計 / 買い物額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y" xr10:uid="{825CD865-AD78-4ABC-BDE9-F46BECA4A44C}" sourceName="y">
  <pivotTables>
    <pivotTable tabId="118" name="ピボットテーブル7"/>
  </pivotTables>
  <data>
    <tabular pivotCacheId="1604542379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m" xr10:uid="{F1CDBC8F-CF2B-4FCF-B66F-BD8A6EB95147}" sourceName="m">
  <pivotTables>
    <pivotTable tabId="118" name="ピボットテーブル7"/>
  </pivotTables>
  <data>
    <tabular pivotCacheId="1604542379">
      <items count="2">
        <i x="1" s="1"/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d" xr10:uid="{8D658202-BDAB-4D4E-8281-C5E9238E7B79}" sourceName="d">
  <pivotTables>
    <pivotTable tabId="118" name="ピボットテーブル7"/>
  </pivotTables>
  <data>
    <tabular pivotCacheId="1604542379">
      <items count="16">
        <i x="9"/>
        <i x="10"/>
        <i x="11"/>
        <i x="12"/>
        <i x="13" s="1"/>
        <i x="14" s="1"/>
        <i x="15" s="1"/>
        <i x="0"/>
        <i x="1"/>
        <i x="3"/>
        <i x="4"/>
        <i x="5"/>
        <i x="6"/>
        <i x="7"/>
        <i x="8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y" xr10:uid="{65A196C7-5C90-4539-9876-07B2111EE7CB}" cache="スライサー_y" caption="y" rowHeight="247650"/>
  <slicer name="m" xr10:uid="{AD5CB986-BF48-46ED-A523-D84BC2040927}" cache="スライサー_m" caption="m" rowHeight="247650"/>
  <slicer name="d" xr10:uid="{10375EDF-02E7-4F77-986F-64C4247C6765}" cache="スライサー_d" caption="d" startItem="3" rowHeight="247650"/>
</slicer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EBC78-9526-43B5-876C-40AAB0C2775E}">
  <sheetPr codeName="Sheet1"/>
  <dimension ref="B1:I65"/>
  <sheetViews>
    <sheetView workbookViewId="0">
      <selection activeCell="D23" sqref="D23"/>
    </sheetView>
  </sheetViews>
  <sheetFormatPr defaultRowHeight="18" x14ac:dyDescent="0.45"/>
  <cols>
    <col min="5" max="5" width="9.3984375" bestFit="1" customWidth="1"/>
  </cols>
  <sheetData>
    <row r="1" spans="2:5" x14ac:dyDescent="0.45">
      <c r="B1" t="s">
        <v>3</v>
      </c>
      <c r="C1" t="s">
        <v>4</v>
      </c>
      <c r="D1" t="s">
        <v>2</v>
      </c>
      <c r="E1" t="s">
        <v>0</v>
      </c>
    </row>
    <row r="2" spans="2:5" x14ac:dyDescent="0.45">
      <c r="B2" t="str">
        <f>LEFT(E2,4)</f>
        <v>2022</v>
      </c>
      <c r="C2" t="str">
        <f>MID(E2,5,2)</f>
        <v>02</v>
      </c>
      <c r="D2" t="str">
        <f>RIGHT(E2,2)</f>
        <v>20</v>
      </c>
      <c r="E2">
        <v>20220220</v>
      </c>
    </row>
    <row r="3" spans="2:5" x14ac:dyDescent="0.45">
      <c r="B3" t="str">
        <f t="shared" ref="B3:B61" si="0">LEFT(E3,4)</f>
        <v>2022</v>
      </c>
      <c r="C3" t="str">
        <f t="shared" ref="C3:C61" si="1">MID(E3,5,2)</f>
        <v>02</v>
      </c>
      <c r="D3" t="str">
        <f t="shared" ref="D3:D61" si="2">RIGHT(E3,2)</f>
        <v>21</v>
      </c>
      <c r="E3">
        <v>20220221</v>
      </c>
    </row>
    <row r="4" spans="2:5" x14ac:dyDescent="0.45">
      <c r="B4" t="str">
        <f t="shared" si="0"/>
        <v>2022</v>
      </c>
      <c r="C4" t="str">
        <f t="shared" si="1"/>
        <v>02</v>
      </c>
      <c r="D4" t="str">
        <f t="shared" si="2"/>
        <v>22</v>
      </c>
      <c r="E4">
        <v>20220222</v>
      </c>
    </row>
    <row r="5" spans="2:5" x14ac:dyDescent="0.45">
      <c r="B5" t="str">
        <f t="shared" si="0"/>
        <v>2022</v>
      </c>
      <c r="C5" t="str">
        <f t="shared" si="1"/>
        <v>02</v>
      </c>
      <c r="D5" t="str">
        <f t="shared" si="2"/>
        <v>23</v>
      </c>
      <c r="E5">
        <v>20220223</v>
      </c>
    </row>
    <row r="6" spans="2:5" x14ac:dyDescent="0.45">
      <c r="B6" t="str">
        <f t="shared" si="0"/>
        <v>2022</v>
      </c>
      <c r="C6" t="str">
        <f t="shared" si="1"/>
        <v>02</v>
      </c>
      <c r="D6" t="str">
        <f t="shared" si="2"/>
        <v>24</v>
      </c>
      <c r="E6">
        <v>20220224</v>
      </c>
    </row>
    <row r="7" spans="2:5" x14ac:dyDescent="0.45">
      <c r="B7" t="str">
        <f t="shared" si="0"/>
        <v>2022</v>
      </c>
      <c r="C7" t="str">
        <f t="shared" si="1"/>
        <v>02</v>
      </c>
      <c r="D7" t="str">
        <f t="shared" si="2"/>
        <v>25</v>
      </c>
      <c r="E7">
        <v>20220225</v>
      </c>
    </row>
    <row r="8" spans="2:5" x14ac:dyDescent="0.45">
      <c r="B8" t="str">
        <f t="shared" si="0"/>
        <v>2022</v>
      </c>
      <c r="C8" t="str">
        <f t="shared" si="1"/>
        <v>02</v>
      </c>
      <c r="D8" t="str">
        <f t="shared" si="2"/>
        <v>26</v>
      </c>
      <c r="E8">
        <v>20220226</v>
      </c>
    </row>
    <row r="9" spans="2:5" x14ac:dyDescent="0.45">
      <c r="B9" t="str">
        <f t="shared" si="0"/>
        <v>2022</v>
      </c>
      <c r="C9" t="str">
        <f t="shared" si="1"/>
        <v>02</v>
      </c>
      <c r="D9" t="str">
        <f t="shared" si="2"/>
        <v>27</v>
      </c>
      <c r="E9">
        <v>20220227</v>
      </c>
    </row>
    <row r="10" spans="2:5" x14ac:dyDescent="0.45">
      <c r="B10" t="str">
        <f t="shared" si="0"/>
        <v>2022</v>
      </c>
      <c r="C10" t="str">
        <f t="shared" si="1"/>
        <v>02</v>
      </c>
      <c r="D10" t="str">
        <f t="shared" si="2"/>
        <v>28</v>
      </c>
      <c r="E10">
        <v>20220228</v>
      </c>
    </row>
    <row r="11" spans="2:5" x14ac:dyDescent="0.45">
      <c r="B11" t="str">
        <f t="shared" si="0"/>
        <v>2022</v>
      </c>
      <c r="C11" t="str">
        <f t="shared" si="1"/>
        <v>03</v>
      </c>
      <c r="D11" t="str">
        <f t="shared" si="2"/>
        <v>01</v>
      </c>
      <c r="E11">
        <v>20220301</v>
      </c>
    </row>
    <row r="12" spans="2:5" x14ac:dyDescent="0.45">
      <c r="B12" t="str">
        <f t="shared" si="0"/>
        <v>2022</v>
      </c>
      <c r="C12" t="str">
        <f t="shared" si="1"/>
        <v>03</v>
      </c>
      <c r="D12" t="str">
        <f t="shared" si="2"/>
        <v>02</v>
      </c>
      <c r="E12">
        <v>20220302</v>
      </c>
    </row>
    <row r="13" spans="2:5" x14ac:dyDescent="0.45">
      <c r="B13" t="str">
        <f t="shared" si="0"/>
        <v>2022</v>
      </c>
      <c r="C13" t="str">
        <f t="shared" si="1"/>
        <v>03</v>
      </c>
      <c r="D13" t="str">
        <f t="shared" si="2"/>
        <v>03</v>
      </c>
      <c r="E13">
        <v>20220303</v>
      </c>
    </row>
    <row r="14" spans="2:5" x14ac:dyDescent="0.45">
      <c r="B14" t="str">
        <f t="shared" si="0"/>
        <v>2022</v>
      </c>
      <c r="C14" t="str">
        <f t="shared" si="1"/>
        <v>03</v>
      </c>
      <c r="D14" t="str">
        <f t="shared" si="2"/>
        <v>04</v>
      </c>
      <c r="E14">
        <v>20220304</v>
      </c>
    </row>
    <row r="15" spans="2:5" x14ac:dyDescent="0.45">
      <c r="B15" t="str">
        <f t="shared" si="0"/>
        <v>2022</v>
      </c>
      <c r="C15" t="str">
        <f t="shared" si="1"/>
        <v>03</v>
      </c>
      <c r="D15" t="str">
        <f t="shared" si="2"/>
        <v>05</v>
      </c>
      <c r="E15">
        <v>20220305</v>
      </c>
    </row>
    <row r="16" spans="2:5" x14ac:dyDescent="0.45">
      <c r="B16" t="str">
        <f t="shared" si="0"/>
        <v>2022</v>
      </c>
      <c r="C16" t="str">
        <f t="shared" si="1"/>
        <v>03</v>
      </c>
      <c r="D16" t="str">
        <f t="shared" si="2"/>
        <v>06</v>
      </c>
      <c r="E16">
        <v>20220306</v>
      </c>
    </row>
    <row r="17" spans="2:5" x14ac:dyDescent="0.45">
      <c r="B17" t="str">
        <f t="shared" si="0"/>
        <v>2022</v>
      </c>
      <c r="C17" t="str">
        <f t="shared" si="1"/>
        <v>03</v>
      </c>
      <c r="D17" t="str">
        <f t="shared" si="2"/>
        <v>07</v>
      </c>
      <c r="E17">
        <v>20220307</v>
      </c>
    </row>
    <row r="65" spans="7:9" x14ac:dyDescent="0.45">
      <c r="G65" t="str">
        <f t="shared" ref="G65" si="3">LEFT(F65,4)</f>
        <v/>
      </c>
      <c r="H65" t="str">
        <f t="shared" ref="H65" si="4">MID(F65,5,2)</f>
        <v/>
      </c>
      <c r="I65" t="str">
        <f t="shared" ref="I65" si="5">RIGHT(F65,2)</f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1F087-1AF2-4B4D-8649-8E8914471560}">
  <sheetPr codeName="Sheet77"/>
  <dimension ref="B1:F17"/>
  <sheetViews>
    <sheetView workbookViewId="0">
      <selection activeCell="C18" sqref="C18"/>
    </sheetView>
  </sheetViews>
  <sheetFormatPr defaultRowHeight="18" x14ac:dyDescent="0.45"/>
  <sheetData>
    <row r="1" spans="2:6" x14ac:dyDescent="0.45">
      <c r="B1" t="s">
        <v>3</v>
      </c>
      <c r="C1" t="s">
        <v>4</v>
      </c>
      <c r="D1" t="s">
        <v>2</v>
      </c>
      <c r="E1" t="s">
        <v>1</v>
      </c>
      <c r="F1" t="s">
        <v>10</v>
      </c>
    </row>
    <row r="2" spans="2:6" x14ac:dyDescent="0.45">
      <c r="B2" t="str">
        <f>LEFT(E2,4)</f>
        <v>2022</v>
      </c>
      <c r="C2" t="str">
        <f>MID(E2,5,2)</f>
        <v>02</v>
      </c>
      <c r="D2" t="str">
        <f>RIGHT(E2,2)</f>
        <v>20</v>
      </c>
      <c r="E2">
        <v>20220220</v>
      </c>
      <c r="F2">
        <v>5</v>
      </c>
    </row>
    <row r="3" spans="2:6" x14ac:dyDescent="0.45">
      <c r="B3" t="str">
        <f t="shared" ref="B3:B17" si="0">LEFT(E3,4)</f>
        <v>2022</v>
      </c>
      <c r="C3" t="str">
        <f t="shared" ref="C3:C17" si="1">MID(E3,5,2)</f>
        <v>02</v>
      </c>
      <c r="D3" t="str">
        <f t="shared" ref="D3:D17" si="2">RIGHT(E3,2)</f>
        <v>21</v>
      </c>
      <c r="E3">
        <v>20220221</v>
      </c>
      <c r="F3">
        <v>43</v>
      </c>
    </row>
    <row r="4" spans="2:6" x14ac:dyDescent="0.45">
      <c r="B4" t="str">
        <f t="shared" si="0"/>
        <v>2022</v>
      </c>
      <c r="C4" t="str">
        <f t="shared" si="1"/>
        <v>02</v>
      </c>
      <c r="D4" t="str">
        <f t="shared" si="2"/>
        <v>22</v>
      </c>
      <c r="E4">
        <v>20220222</v>
      </c>
    </row>
    <row r="5" spans="2:6" x14ac:dyDescent="0.45">
      <c r="B5" t="str">
        <f t="shared" si="0"/>
        <v>2022</v>
      </c>
      <c r="C5" t="str">
        <f t="shared" si="1"/>
        <v>02</v>
      </c>
      <c r="D5" t="str">
        <f t="shared" si="2"/>
        <v>23</v>
      </c>
      <c r="E5">
        <v>20220223</v>
      </c>
      <c r="F5">
        <v>62435</v>
      </c>
    </row>
    <row r="6" spans="2:6" x14ac:dyDescent="0.45">
      <c r="B6" t="str">
        <f t="shared" si="0"/>
        <v>2022</v>
      </c>
      <c r="C6" t="str">
        <f t="shared" si="1"/>
        <v>02</v>
      </c>
      <c r="D6" t="str">
        <f t="shared" si="2"/>
        <v>24</v>
      </c>
      <c r="E6">
        <v>20220224</v>
      </c>
      <c r="F6">
        <v>32432</v>
      </c>
    </row>
    <row r="7" spans="2:6" x14ac:dyDescent="0.45">
      <c r="B7" t="str">
        <f t="shared" si="0"/>
        <v>2022</v>
      </c>
      <c r="C7" t="str">
        <f t="shared" si="1"/>
        <v>02</v>
      </c>
      <c r="D7" t="str">
        <f t="shared" si="2"/>
        <v>25</v>
      </c>
      <c r="E7">
        <v>20220225</v>
      </c>
      <c r="F7">
        <v>6</v>
      </c>
    </row>
    <row r="8" spans="2:6" x14ac:dyDescent="0.45">
      <c r="B8" t="str">
        <f t="shared" si="0"/>
        <v>2022</v>
      </c>
      <c r="C8" t="str">
        <f t="shared" si="1"/>
        <v>02</v>
      </c>
      <c r="D8" t="str">
        <f t="shared" si="2"/>
        <v>26</v>
      </c>
      <c r="E8">
        <v>20220226</v>
      </c>
      <c r="F8">
        <v>43</v>
      </c>
    </row>
    <row r="9" spans="2:6" x14ac:dyDescent="0.45">
      <c r="B9" t="str">
        <f t="shared" si="0"/>
        <v>2022</v>
      </c>
      <c r="C9" t="str">
        <f t="shared" si="1"/>
        <v>02</v>
      </c>
      <c r="D9" t="str">
        <f t="shared" si="2"/>
        <v>27</v>
      </c>
      <c r="E9">
        <v>20220227</v>
      </c>
      <c r="F9">
        <v>342</v>
      </c>
    </row>
    <row r="10" spans="2:6" x14ac:dyDescent="0.45">
      <c r="B10" t="str">
        <f t="shared" si="0"/>
        <v>2022</v>
      </c>
      <c r="C10" t="str">
        <f t="shared" si="1"/>
        <v>02</v>
      </c>
      <c r="D10" t="str">
        <f t="shared" si="2"/>
        <v>28</v>
      </c>
      <c r="E10">
        <v>20220228</v>
      </c>
      <c r="F10">
        <v>6</v>
      </c>
    </row>
    <row r="11" spans="2:6" x14ac:dyDescent="0.45">
      <c r="B11" t="str">
        <f t="shared" si="0"/>
        <v>2022</v>
      </c>
      <c r="C11" t="str">
        <f t="shared" si="1"/>
        <v>03</v>
      </c>
      <c r="D11" t="str">
        <f t="shared" si="2"/>
        <v>01</v>
      </c>
      <c r="E11">
        <v>20220301</v>
      </c>
      <c r="F11">
        <v>453</v>
      </c>
    </row>
    <row r="12" spans="2:6" x14ac:dyDescent="0.45">
      <c r="B12" t="str">
        <f t="shared" si="0"/>
        <v>2022</v>
      </c>
      <c r="C12" t="str">
        <f t="shared" si="1"/>
        <v>03</v>
      </c>
      <c r="D12" t="str">
        <f t="shared" si="2"/>
        <v>02</v>
      </c>
      <c r="E12">
        <v>20220302</v>
      </c>
      <c r="F12">
        <v>4</v>
      </c>
    </row>
    <row r="13" spans="2:6" x14ac:dyDescent="0.45">
      <c r="B13" t="str">
        <f t="shared" si="0"/>
        <v>2022</v>
      </c>
      <c r="C13" t="str">
        <f t="shared" si="1"/>
        <v>03</v>
      </c>
      <c r="D13" t="str">
        <f t="shared" si="2"/>
        <v>03</v>
      </c>
      <c r="E13">
        <v>20220303</v>
      </c>
      <c r="F13">
        <v>6754</v>
      </c>
    </row>
    <row r="14" spans="2:6" x14ac:dyDescent="0.45">
      <c r="B14" t="str">
        <f t="shared" si="0"/>
        <v>2022</v>
      </c>
      <c r="C14" t="str">
        <f t="shared" si="1"/>
        <v>03</v>
      </c>
      <c r="D14" t="str">
        <f t="shared" si="2"/>
        <v>04</v>
      </c>
      <c r="E14">
        <v>20220304</v>
      </c>
      <c r="F14">
        <v>36</v>
      </c>
    </row>
    <row r="15" spans="2:6" x14ac:dyDescent="0.45">
      <c r="B15" t="str">
        <f t="shared" si="0"/>
        <v>2022</v>
      </c>
      <c r="C15" t="str">
        <f t="shared" si="1"/>
        <v>03</v>
      </c>
      <c r="D15" t="str">
        <f t="shared" si="2"/>
        <v>05</v>
      </c>
      <c r="E15">
        <v>20220305</v>
      </c>
      <c r="F15">
        <v>45</v>
      </c>
    </row>
    <row r="16" spans="2:6" x14ac:dyDescent="0.45">
      <c r="B16" t="str">
        <f t="shared" si="0"/>
        <v>2022</v>
      </c>
      <c r="C16" t="str">
        <f t="shared" si="1"/>
        <v>03</v>
      </c>
      <c r="D16" t="str">
        <f t="shared" si="2"/>
        <v>06</v>
      </c>
      <c r="E16">
        <v>20220306</v>
      </c>
      <c r="F16">
        <v>6</v>
      </c>
    </row>
    <row r="17" spans="2:6" x14ac:dyDescent="0.45">
      <c r="B17" t="str">
        <f t="shared" si="0"/>
        <v>2022</v>
      </c>
      <c r="C17" t="str">
        <f t="shared" si="1"/>
        <v>03</v>
      </c>
      <c r="D17" t="str">
        <f t="shared" si="2"/>
        <v>07</v>
      </c>
      <c r="E17">
        <v>20220307</v>
      </c>
      <c r="F17">
        <v>432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AC2B6-FF15-4327-8A7D-1E50C9EB026D}">
  <sheetPr codeName="Sheet87"/>
  <dimension ref="A3:B7"/>
  <sheetViews>
    <sheetView tabSelected="1" workbookViewId="0">
      <selection activeCell="N4" sqref="N4"/>
    </sheetView>
  </sheetViews>
  <sheetFormatPr defaultRowHeight="18" x14ac:dyDescent="0.45"/>
  <cols>
    <col min="1" max="1" width="10.59765625" bestFit="1" customWidth="1"/>
    <col min="2" max="2" width="14.5" bestFit="1" customWidth="1"/>
  </cols>
  <sheetData>
    <row r="3" spans="1:2" x14ac:dyDescent="0.45">
      <c r="A3" s="2" t="s">
        <v>5</v>
      </c>
      <c r="B3" t="s">
        <v>11</v>
      </c>
    </row>
    <row r="4" spans="1:2" x14ac:dyDescent="0.45">
      <c r="A4" s="3" t="s">
        <v>7</v>
      </c>
      <c r="B4" s="1">
        <v>45</v>
      </c>
    </row>
    <row r="5" spans="1:2" x14ac:dyDescent="0.45">
      <c r="A5" s="3" t="s">
        <v>8</v>
      </c>
      <c r="B5" s="1">
        <v>6</v>
      </c>
    </row>
    <row r="6" spans="1:2" x14ac:dyDescent="0.45">
      <c r="A6" s="3" t="s">
        <v>9</v>
      </c>
      <c r="B6" s="1">
        <v>432</v>
      </c>
    </row>
    <row r="7" spans="1:2" x14ac:dyDescent="0.45">
      <c r="A7" s="3" t="s">
        <v>6</v>
      </c>
      <c r="B7" s="1">
        <v>483</v>
      </c>
    </row>
  </sheetData>
  <phoneticPr fontId="1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raw</vt:lpstr>
      <vt:lpstr>pivotraw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thyt</dc:creator>
  <cp:lastModifiedBy>thyt</cp:lastModifiedBy>
  <dcterms:created xsi:type="dcterms:W3CDTF">2022-03-11T12:14:33Z</dcterms:created>
  <dcterms:modified xsi:type="dcterms:W3CDTF">2022-03-13T13:57:03Z</dcterms:modified>
</cp:coreProperties>
</file>